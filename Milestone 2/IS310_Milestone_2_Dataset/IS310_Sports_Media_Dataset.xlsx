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847d50674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3dd6bd8509604210"/>
    <x:sheet xmlns:r="http://schemas.openxmlformats.org/officeDocument/2006/relationships" name="Guide" sheetId="2" r:id="R9ee2d09cf967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sz val="10"/>
      <x:color rgb="FF1358A2"/>
      <x:name val="Arial"/>
    </x:font>
    <x:font>
      <x:b/>
      <x:sz val="16"/>
      <x:color rgb="FF202A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  <x:dxfs count="2">
    <x:dxf>
      <x:font>
        <x:color rgb="FF754B00"/>
      </x:font>
      <x:fill>
        <x:patternFill patternType="solid">
          <x:bgColor rgb="FFFFF1D5"/>
        </x:patternFill>
      </x:fill>
    </x:dxf>
    <x:dxf>
      <x:font>
        <x:color rgb="FF754B00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a3d059ccb4191" /><Relationship Type="http://schemas.openxmlformats.org/officeDocument/2006/relationships/theme" Target="/xl/theme/theme1.xml" Id="R50aba84ac5684030" /><Relationship Type="http://schemas.openxmlformats.org/officeDocument/2006/relationships/sharedStrings" Target="/xl/sharedStrings.xml" Id="Re69a839706544541" /><Relationship Type="http://schemas.openxmlformats.org/officeDocument/2006/relationships/worksheet" Target="/xl/worksheets/sheet1.xml" Id="R3dd6bd8509604210" /><Relationship Type="http://schemas.openxmlformats.org/officeDocument/2006/relationships/worksheet" Target="/xl/worksheets/sheet2.xml" Id="R9ee2d09cf967426d" /></Relationships>
</file>

<file path=xl/tables/table1.xml><?xml version="1.0" encoding="utf-8"?>
<x:table xmlns:x="http://schemas.openxmlformats.org/spreadsheetml/2006/main" id="1" name="SportsMediaRecords" displayName="SportsMediaRecords" ref="A1:Y76" headerRowCount="1" totalsRowCount="0" totalsRowShown="0">
  <x:autoFilter ref="A1:Y76"/>
  <x:tableColumns count="25">
    <x:tableColumn id="1" name="item_id"/>
    <x:tableColumn id="2" name="strand"/>
    <x:tableColumn id="3" name="sport"/>
    <x:tableColumn id="4" name="record_label"/>
    <x:tableColumn id="5" name="source_date"/>
    <x:tableColumn id="6" name="date_basis"/>
    <x:tableColumn id="7" name="publisher"/>
    <x:tableColumn id="8" name="originator"/>
    <x:tableColumn id="9" name="provenance"/>
    <x:tableColumn id="10" name="subject"/>
    <x:tableColumn id="11" name="language"/>
    <x:tableColumn id="12" name="evidence_note"/>
    <x:tableColumn id="13" name="development"/>
    <x:tableColumn id="14" name="national_identity"/>
    <x:tableColumn id="15" name="audience_connection"/>
    <x:tableColumn id="16" name="competing_allegiance"/>
    <x:tableColumn id="17" name="movement"/>
    <x:tableColumn id="18" name="inspected_scope"/>
    <x:tableColumn id="19" name="evidence_locator"/>
    <x:tableColumn id="20" name="access_method"/>
    <x:tableColumn id="21" name="accessed_date"/>
    <x:tableColumn id="22" name="source_url"/>
    <x:tableColumn id="23" name="review_status"/>
    <x:tableColumn id="24" name="reviewer"/>
    <x:tableColumn id="25" name="dat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bdf44c26004e9e" /></Relationships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40" hidden="0" customWidth="1"/>
    <x:col min="5" max="5" width="17" hidden="0" customWidth="1"/>
    <x:col min="6" max="6" width="17" hidden="0" customWidth="1"/>
    <x:col min="7" max="7" width="27" hidden="0" customWidth="1"/>
    <x:col min="8" max="8" width="27" hidden="0" customWidth="1"/>
    <x:col min="9" max="9" width="27" hidden="0" customWidth="1"/>
    <x:col min="10" max="10" width="29" hidden="0" customWidth="1"/>
    <x:col min="11" max="11" width="15" hidden="0" customWidth="1"/>
    <x:col min="12" max="12" width="66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7" hidden="0" customWidth="1"/>
    <x:col min="18" max="18" width="27" hidden="0" customWidth="1"/>
    <x:col min="19" max="19" width="50" hidden="0" customWidth="1"/>
    <x:col min="20" max="20" width="27" hidden="0" customWidth="1"/>
    <x:col min="21" max="21" width="17" hidden="0" customWidth="1"/>
    <x:col min="22" max="22" width="72" hidden="0" customWidth="1"/>
    <x:col min="23" max="23" width="22" hidden="0" customWidth="1"/>
    <x:col min="24" max="24" width="22" hidden="0" customWidth="1"/>
    <x:col min="25" max="25" width="64" hidden="0" customWidth="1"/>
  </x:cols>
  <x:sheetData>
    <x:row r="1" ht="38" customHeight="1">
      <x:c r="A1" s="8" t="str">
        <x:v>item_id</x:v>
      </x:c>
      <x:c r="B1" s="8" t="str">
        <x:v>strand</x:v>
      </x:c>
      <x:c r="C1" s="8" t="str">
        <x:v>sport</x:v>
      </x:c>
      <x:c r="D1" s="8" t="str">
        <x:v>record_label</x:v>
      </x:c>
      <x:c r="E1" s="8" t="str">
        <x:v>source_date</x:v>
      </x:c>
      <x:c r="F1" s="8" t="str">
        <x:v>date_basis</x:v>
      </x:c>
      <x:c r="G1" s="8" t="str">
        <x:v>publisher</x:v>
      </x:c>
      <x:c r="H1" s="8" t="str">
        <x:v>originator</x:v>
      </x:c>
      <x:c r="I1" s="8" t="str">
        <x:v>provenance</x:v>
      </x:c>
      <x:c r="J1" s="8" t="str">
        <x:v>subject</x:v>
      </x:c>
      <x:c r="K1" s="8" t="str">
        <x:v>language</x:v>
      </x:c>
      <x:c r="L1" s="8" t="str">
        <x:v>evidence_note</x:v>
      </x:c>
      <x:c r="M1" s="8" t="str">
        <x:v>development</x:v>
      </x:c>
      <x:c r="N1" s="8" t="str">
        <x:v>national_identity</x:v>
      </x:c>
      <x:c r="O1" s="8" t="str">
        <x:v>audience_connection</x:v>
      </x:c>
      <x:c r="P1" s="8" t="str">
        <x:v>competing_allegiance</x:v>
      </x:c>
      <x:c r="Q1" s="8" t="str">
        <x:v>movement</x:v>
      </x:c>
      <x:c r="R1" s="8" t="str">
        <x:v>inspected_scope</x:v>
      </x:c>
      <x:c r="S1" s="8" t="str">
        <x:v>evidence_locator</x:v>
      </x:c>
      <x:c r="T1" s="8" t="str">
        <x:v>access_method</x:v>
      </x:c>
      <x:c r="U1" s="8" t="str">
        <x:v>accessed_date</x:v>
      </x:c>
      <x:c r="V1" s="8" t="str">
        <x:v>source_url</x:v>
      </x:c>
      <x:c r="W1" s="8" t="str">
        <x:v>review_status</x:v>
      </x:c>
      <x:c r="X1" s="8" t="str">
        <x:v>reviewer</x:v>
      </x:c>
      <x:c r="Y1" s="8" t="str">
        <x:v>date_note</x:v>
      </x:c>
    </x:row>
    <x:row r="2" ht="54" customHeight="1">
      <x:c r="A2" s="3" t="str">
        <x:v>SOC001</x:v>
      </x:c>
      <x:c r="B2" s="3" t="str">
        <x:v>athlete_mobility</x:v>
      </x:c>
      <x:c r="C2" s="3" t="str">
        <x:v>soccer</x:v>
      </x:c>
      <x:c r="D2" s="3" t="str">
        <x:v>Five Things to Know About Weston McKennie</x:v>
      </x:c>
      <x:c r="E2" s="4" t="d">
        <x:v>2017-11-17T00:00:00.000Z</x:v>
      </x:c>
      <x:c r="F2" s="3" t="str">
        <x:v>published</x:v>
      </x:c>
      <x:c r="G2" s="3" t="str">
        <x:v>U.S. Soccer</x:v>
      </x:c>
      <x:c r="H2" s="3" t="str">
        <x:v>U.S. Soccer</x:v>
      </x:c>
      <x:c r="I2" s="3" t="str">
        <x:v>institutional</x:v>
      </x:c>
      <x:c r="J2" s="3" t="str">
        <x:v>Weston McKennie</x:v>
      </x:c>
      <x:c r="K2" s="3" t="str">
        <x:v>English</x:v>
      </x:c>
      <x:c r="L2" s="3" t="str">
        <x:v>Describes Germany's soccer culture and his decision to return for a professional pathway.</x:v>
      </x:c>
      <x:c r="M2" s="3" t="str">
        <x:v>yes</x:v>
      </x:c>
      <x:c r="N2" s="3" t="str">
        <x:v>yes</x:v>
      </x:c>
      <x:c r="O2" s="3" t="str">
        <x:v>yes</x:v>
      </x:c>
      <x:c r="P2" s="3" t="str">
        <x:v>no</x:v>
      </x:c>
      <x:c r="Q2" s="3" t="str">
        <x:v>relocation_discussed</x:v>
      </x:c>
      <x:c r="R2" s="3" t="str">
        <x:v>article_body</x:v>
      </x:c>
      <x:c r="S2" s="3" t="str">
        <x:v>Early Life and Move to Schalke</x:v>
      </x:c>
      <x:c r="T2" s="3" t="str">
        <x:v>original_page</x:v>
      </x:c>
      <x:c r="U2" s="4" t="d">
        <x:v>2026-10-22T00:00:00.000Z</x:v>
      </x:c>
      <x:c r="V2" s="9" t="str">
        <x:v>https://www.ussoccer.com/stories/2017/11/five-things-to-know-about-weston-mckennie</x:v>
      </x:c>
      <x:c r="W2" s="3" t="str">
        <x:v>provisional</x:v>
      </x:c>
      <x:c r="X2" s="3" t="str"/>
      <x:c r="Y2" s="3" t="str"/>
    </x:row>
    <x:row r="3" ht="54" customHeight="1">
      <x:c r="A3" s="3" t="str">
        <x:v>SOC002</x:v>
      </x:c>
      <x:c r="B3" s="3" t="str">
        <x:v>athlete_mobility</x:v>
      </x:c>
      <x:c r="C3" s="3" t="str">
        <x:v>soccer</x:v>
      </x:c>
      <x:c r="D3" s="3" t="str">
        <x:v>Five Things to Know About Tyler Adams</x:v>
      </x:c>
      <x:c r="E3" s="4" t="d">
        <x:v>2017-11-17T00:00:00.000Z</x:v>
      </x:c>
      <x:c r="F3" s="3" t="str">
        <x:v>published</x:v>
      </x:c>
      <x:c r="G3" s="3" t="str">
        <x:v>U.S. Soccer</x:v>
      </x:c>
      <x:c r="H3" s="3" t="str">
        <x:v>U.S. Soccer</x:v>
      </x:c>
      <x:c r="I3" s="3" t="str">
        <x:v>institutional</x:v>
      </x:c>
      <x:c r="J3" s="3" t="str">
        <x:v>Tyler Adams</x:v>
      </x:c>
      <x:c r="K3" s="3" t="str">
        <x:v>English</x:v>
      </x:c>
      <x:c r="L3" s="3" t="str">
        <x:v>Describes a domestic academy pathway and national-team mentors; retain as a comparison to relocation narratives.</x:v>
      </x:c>
      <x:c r="M3" s="3" t="str">
        <x:v>yes</x:v>
      </x:c>
      <x:c r="N3" s="3" t="str">
        <x:v>yes</x:v>
      </x:c>
      <x:c r="O3" s="3" t="str">
        <x:v>yes</x:v>
      </x:c>
      <x:c r="P3" s="3" t="str">
        <x:v>no</x:v>
      </x:c>
      <x:c r="Q3" s="3" t="str">
        <x:v>domestic_pathway</x:v>
      </x:c>
      <x:c r="R3" s="3" t="str">
        <x:v>article_body</x:v>
      </x:c>
      <x:c r="S3" s="3" t="str">
        <x:v>A HOMEGROWN FOR HOMETOWN CLUB AND U.S. SOCCER and MNT AND MLS MENTORS</x:v>
      </x:c>
      <x:c r="T3" s="3" t="str">
        <x:v>original_page</x:v>
      </x:c>
      <x:c r="U3" s="4" t="d">
        <x:v>2026-10-22T00:00:00.000Z</x:v>
      </x:c>
      <x:c r="V3" s="9" t="str">
        <x:v>https://www.ussoccer.com/stories/2017/11/five-things-to-know-about-tyler-adams</x:v>
      </x:c>
      <x:c r="W3" s="3" t="str">
        <x:v>provisional</x:v>
      </x:c>
      <x:c r="X3" s="3" t="str"/>
      <x:c r="Y3" s="3" t="str"/>
    </x:row>
    <x:row r="4" ht="54" customHeight="1">
      <x:c r="A4" s="3" t="str">
        <x:v>SOC003</x:v>
      </x:c>
      <x:c r="B4" s="3" t="str">
        <x:v>athlete_mobility</x:v>
      </x:c>
      <x:c r="C4" s="3" t="str">
        <x:v>soccer</x:v>
      </x:c>
      <x:c r="D4" s="3" t="str">
        <x:v>Pulisic and development access</x:v>
      </x:c>
      <x:c r="E4" s="4" t="d">
        <x:v>2017-11-13T00:00:00.000Z</x:v>
      </x:c>
      <x:c r="F4" s="3" t="str">
        <x:v>published</x:v>
      </x:c>
      <x:c r="G4" s="3" t="str">
        <x:v>The Guardian</x:v>
      </x:c>
      <x:c r="H4" s="3" t="str">
        <x:v>The Guardian</x:v>
      </x:c>
      <x:c r="I4" s="3" t="str">
        <x:v>independent</x:v>
      </x:c>
      <x:c r="J4" s="3" t="str">
        <x:v>Christian Pulisic</x:v>
      </x:c>
      <x:c r="K4" s="3" t="str">
        <x:v>English</x:v>
      </x:c>
      <x:c r="L4" s="3" t="str">
        <x:v>Links European development access to passport eligibility.</x:v>
      </x:c>
      <x:c r="M4" s="3" t="str">
        <x:v>yes</x:v>
      </x:c>
      <x:c r="N4" s="3" t="str">
        <x:v>yes</x:v>
      </x:c>
      <x:c r="O4" s="3" t="str">
        <x:v>unclear</x:v>
      </x:c>
      <x:c r="P4" s="3" t="str">
        <x:v>unclear</x:v>
      </x:c>
      <x:c r="Q4" s="3" t="str">
        <x:v>relocation_discussed</x:v>
      </x:c>
      <x:c r="R4" s="3" t="str">
        <x:v>article_excerpt</x:v>
      </x:c>
      <x:c r="S4" s="3" t="str">
        <x:v>Passport discussion</x:v>
      </x:c>
      <x:c r="T4" s="3" t="str">
        <x:v>original_page</x:v>
      </x:c>
      <x:c r="U4" s="4" t="d">
        <x:v>2026-10-22T00:00:00.000Z</x:v>
      </x:c>
      <x:c r="V4" s="9" t="str">
        <x:v>https://www.theguardian.com/football/2017/nov/13/christian-pulisic-world-cup-failure-us-soccer</x:v>
      </x:c>
      <x:c r="W4" s="3" t="str">
        <x:v>provisional</x:v>
      </x:c>
      <x:c r="X4" s="3" t="str"/>
      <x:c r="Y4" s="3" t="str"/>
    </x:row>
    <x:row r="5" ht="54" customHeight="1">
      <x:c r="A5" s="3" t="str">
        <x:v>SOC004</x:v>
      </x:c>
      <x:c r="B5" s="3" t="str">
        <x:v>athlete_mobility</x:v>
      </x:c>
      <x:c r="C5" s="3" t="str">
        <x:v>soccer</x:v>
      </x:c>
      <x:c r="D5" s="3" t="str">
        <x:v>Pulisic and US pathways</x:v>
      </x:c>
      <x:c r="E5" s="4" t="d">
        <x:v>2019-01-07T00:00:00.000Z</x:v>
      </x:c>
      <x:c r="F5" s="3" t="str">
        <x:v>published</x:v>
      </x:c>
      <x:c r="G5" s="3" t="str">
        <x:v>The Guardian</x:v>
      </x:c>
      <x:c r="H5" s="3" t="str">
        <x:v>The Guardian</x:v>
      </x:c>
      <x:c r="I5" s="3" t="str">
        <x:v>independent</x:v>
      </x:c>
      <x:c r="J5" s="3" t="str">
        <x:v>Christian Pulisic</x:v>
      </x:c>
      <x:c r="K5" s="3" t="str">
        <x:v>English</x:v>
      </x:c>
      <x:c r="L5" s="3" t="str">
        <x:v>Questions whether elite moves reflect broad development progress.</x:v>
      </x:c>
      <x:c r="M5" s="3" t="str">
        <x:v>yes</x:v>
      </x:c>
      <x:c r="N5" s="3" t="str">
        <x:v>yes</x:v>
      </x:c>
      <x:c r="O5" s="3" t="str">
        <x:v>unclear</x:v>
      </x:c>
      <x:c r="P5" s="3" t="str">
        <x:v>unclear</x:v>
      </x:c>
      <x:c r="Q5" s="3" t="str">
        <x:v>not_established</x:v>
      </x:c>
      <x:c r="R5" s="3" t="str">
        <x:v>article_excerpt</x:v>
      </x:c>
      <x:c r="S5" s="3" t="str">
        <x:v>Standfirst on European moves and US youth system</x:v>
      </x:c>
      <x:c r="T5" s="3" t="str">
        <x:v>original_page</x:v>
      </x:c>
      <x:c r="U5" s="4" t="d">
        <x:v>2026-10-22T00:00:00.000Z</x:v>
      </x:c>
      <x:c r="V5" s="9" t="str">
        <x:v>https://www.theguardian.com/football/2019/jan/07/christian-pulisic-chelsea-us-players-in-europe</x:v>
      </x:c>
      <x:c r="W5" s="3" t="str">
        <x:v>provisional</x:v>
      </x:c>
      <x:c r="X5" s="3" t="str"/>
      <x:c r="Y5" s="3" t="str"/>
    </x:row>
    <x:row r="6" ht="54" customHeight="1">
      <x:c r="A6" s="3" t="str">
        <x:v>SOC005</x:v>
      </x:c>
      <x:c r="B6" s="3" t="str">
        <x:v>athlete_mobility</x:v>
      </x:c>
      <x:c r="C6" s="3" t="str">
        <x:v>soccer</x:v>
      </x:c>
      <x:c r="D6" s="3" t="str">
        <x:v>McKennie development in Germany</x:v>
      </x:c>
      <x:c r="E6" s="4" t="d">
        <x:v>2020-11-04T00:00:00.000Z</x:v>
      </x:c>
      <x:c r="F6" s="3" t="str">
        <x:v>published</x:v>
      </x:c>
      <x:c r="G6" s="3" t="str">
        <x:v>The Guardian</x:v>
      </x:c>
      <x:c r="H6" s="3" t="str">
        <x:v>The Guardian</x:v>
      </x:c>
      <x:c r="I6" s="3" t="str">
        <x:v>independent</x:v>
      </x:c>
      <x:c r="J6" s="3" t="str">
        <x:v>Weston McKennie</x:v>
      </x:c>
      <x:c r="K6" s="3" t="str">
        <x:v>English</x:v>
      </x:c>
      <x:c r="L6" s="3" t="str">
        <x:v>Connects German upbringing with his later football pathway.</x:v>
      </x:c>
      <x:c r="M6" s="3" t="str">
        <x:v>yes</x:v>
      </x:c>
      <x:c r="N6" s="3" t="str">
        <x:v>yes</x:v>
      </x:c>
      <x:c r="O6" s="3" t="str">
        <x:v>unclear</x:v>
      </x:c>
      <x:c r="P6" s="3" t="str">
        <x:v>unclear</x:v>
      </x:c>
      <x:c r="Q6" s="3" t="str">
        <x:v>relocation_discussed</x:v>
      </x:c>
      <x:c r="R6" s="3" t="str">
        <x:v>article_excerpt</x:v>
      </x:c>
      <x:c r="S6" s="3" t="str">
        <x:v>Childhood move and Schalke development discussion</x:v>
      </x:c>
      <x:c r="T6" s="3" t="str">
        <x:v>original_page</x:v>
      </x:c>
      <x:c r="U6" s="4" t="d">
        <x:v>2026-10-22T00:00:00.000Z</x:v>
      </x:c>
      <x:c r="V6" s="9" t="str">
        <x:v>https://www.theguardian.com/football/2020/nov/04/weston-mckennie-usa-juventus-schalke</x:v>
      </x:c>
      <x:c r="W6" s="3" t="str">
        <x:v>provisional</x:v>
      </x:c>
      <x:c r="X6" s="3" t="str"/>
      <x:c r="Y6" s="3" t="str"/>
    </x:row>
    <x:row r="7" ht="54" customHeight="1">
      <x:c r="A7" s="3" t="str">
        <x:v>SOC006</x:v>
      </x:c>
      <x:c r="B7" s="3" t="str">
        <x:v>athlete_mobility</x:v>
      </x:c>
      <x:c r="C7" s="3" t="str">
        <x:v>soccer</x:v>
      </x:c>
      <x:c r="D7" s="3" t="str">
        <x:v>Reyna development stalls</x:v>
      </x:c>
      <x:c r="E7" s="4" t="d">
        <x:v>2023-11-03T00:00:00.000Z</x:v>
      </x:c>
      <x:c r="F7" s="3" t="str">
        <x:v>published</x:v>
      </x:c>
      <x:c r="G7" s="3" t="str">
        <x:v>The Guardian</x:v>
      </x:c>
      <x:c r="H7" s="3" t="str">
        <x:v>The Guardian</x:v>
      </x:c>
      <x:c r="I7" s="3" t="str">
        <x:v>independent</x:v>
      </x:c>
      <x:c r="J7" s="3" t="str">
        <x:v>Gio Reyna</x:v>
      </x:c>
      <x:c r="K7" s="3" t="str">
        <x:v>English</x:v>
      </x:c>
      <x:c r="L7" s="3" t="str">
        <x:v>Contrasts national-team promise with limited club opportunities.</x:v>
      </x:c>
      <x:c r="M7" s="3" t="str">
        <x:v>yes</x:v>
      </x:c>
      <x:c r="N7" s="3" t="str">
        <x:v>yes</x:v>
      </x:c>
      <x:c r="O7" s="3" t="str">
        <x:v>unclear</x:v>
      </x:c>
      <x:c r="P7" s="3" t="str">
        <x:v>unclear</x:v>
      </x:c>
      <x:c r="Q7" s="3" t="str">
        <x:v>not_established</x:v>
      </x:c>
      <x:c r="R7" s="3" t="str">
        <x:v>article_excerpt</x:v>
      </x:c>
      <x:c r="S7" s="3" t="str">
        <x:v>Standfirst and club development discussion</x:v>
      </x:c>
      <x:c r="T7" s="3" t="str">
        <x:v>original_page</x:v>
      </x:c>
      <x:c r="U7" s="4" t="d">
        <x:v>2026-10-22T00:00:00.000Z</x:v>
      </x:c>
      <x:c r="V7" s="9" t="str">
        <x:v>https://www.theguardian.com/global/2023/nov/03/gio-reyna-borussia-dortmund-bayern-munich-usmnt</x:v>
      </x:c>
      <x:c r="W7" s="3" t="str">
        <x:v>provisional</x:v>
      </x:c>
      <x:c r="X7" s="3" t="str"/>
      <x:c r="Y7" s="3" t="str"/>
    </x:row>
    <x:row r="8" ht="54" customHeight="1">
      <x:c r="A8" s="3" t="str">
        <x:v>SOC007</x:v>
      </x:c>
      <x:c r="B8" s="3" t="str">
        <x:v>athlete_mobility</x:v>
      </x:c>
      <x:c r="C8" s="3" t="str">
        <x:v>soccer</x:v>
      </x:c>
      <x:c r="D8" s="3" t="str">
        <x:v>Reyna seeks playing opportunities</x:v>
      </x:c>
      <x:c r="E8" s="4" t="d">
        <x:v>2025-10-28T00:00:00.000Z</x:v>
      </x:c>
      <x:c r="F8" s="3" t="str">
        <x:v>published</x:v>
      </x:c>
      <x:c r="G8" s="3" t="str">
        <x:v>The Guardian</x:v>
      </x:c>
      <x:c r="H8" s="3" t="str">
        <x:v>Associated Press</x:v>
      </x:c>
      <x:c r="I8" s="3" t="str">
        <x:v>independent</x:v>
      </x:c>
      <x:c r="J8" s="3" t="str">
        <x:v>Gio Reyna</x:v>
      </x:c>
      <x:c r="K8" s="3" t="str">
        <x:v>English</x:v>
      </x:c>
      <x:c r="L8" s="3" t="str">
        <x:v>Discusses moving clubs to regain opportunities and national selection.</x:v>
      </x:c>
      <x:c r="M8" s="3" t="str">
        <x:v>yes</x:v>
      </x:c>
      <x:c r="N8" s="3" t="str">
        <x:v>yes</x:v>
      </x:c>
      <x:c r="O8" s="3" t="str">
        <x:v>unclear</x:v>
      </x:c>
      <x:c r="P8" s="3" t="str">
        <x:v>unclear</x:v>
      </x:c>
      <x:c r="Q8" s="3" t="str">
        <x:v>not_established</x:v>
      </x:c>
      <x:c r="R8" s="3" t="str">
        <x:v>article_excerpt</x:v>
      </x:c>
      <x:c r="S8" s="3" t="str">
        <x:v>Interview on Dortmund and Gladbach playing time</x:v>
      </x:c>
      <x:c r="T8" s="3" t="str">
        <x:v>original_page</x:v>
      </x:c>
      <x:c r="U8" s="4" t="d">
        <x:v>2026-10-22T00:00:00.000Z</x:v>
      </x:c>
      <x:c r="V8" s="9" t="str">
        <x:v>https://www.theguardian.com/football/2025/oct/28/gio-reyna-usmnt-borussia-monchengladbach-world-cup-2022-2026</x:v>
      </x:c>
      <x:c r="W8" s="3" t="str">
        <x:v>provisional</x:v>
      </x:c>
      <x:c r="X8" s="3" t="str"/>
      <x:c r="Y8" s="3" t="str"/>
    </x:row>
    <x:row r="9" ht="54" customHeight="1">
      <x:c r="A9" s="3" t="str">
        <x:v>SOC008</x:v>
      </x:c>
      <x:c r="B9" s="3" t="str">
        <x:v>athlete_mobility</x:v>
      </x:c>
      <x:c r="C9" s="3" t="str">
        <x:v>soccer</x:v>
      </x:c>
      <x:c r="D9" s="3" t="str">
        <x:v>Assessing US player development</x:v>
      </x:c>
      <x:c r="E9" s="4" t="d">
        <x:v>2023-12-28T00:00:00.000Z</x:v>
      </x:c>
      <x:c r="F9" s="3" t="str">
        <x:v>published</x:v>
      </x:c>
      <x:c r="G9" s="3" t="str">
        <x:v>The Guardian</x:v>
      </x:c>
      <x:c r="H9" s="3" t="str">
        <x:v>The Guardian</x:v>
      </x:c>
      <x:c r="I9" s="3" t="str">
        <x:v>independent</x:v>
      </x:c>
      <x:c r="J9" s="3" t="str">
        <x:v>USMNT players</x:v>
      </x:c>
      <x:c r="K9" s="3" t="str">
        <x:v>English</x:v>
      </x:c>
      <x:c r="L9" s="3" t="str">
        <x:v>Questions progress among a widely promoted US generation.</x:v>
      </x:c>
      <x:c r="M9" s="3" t="str">
        <x:v>yes</x:v>
      </x:c>
      <x:c r="N9" s="3" t="str">
        <x:v>yes</x:v>
      </x:c>
      <x:c r="O9" s="3" t="str">
        <x:v>unclear</x:v>
      </x:c>
      <x:c r="P9" s="3" t="str">
        <x:v>unclear</x:v>
      </x:c>
      <x:c r="Q9" s="3" t="str">
        <x:v>not_established</x:v>
      </x:c>
      <x:c r="R9" s="3" t="str">
        <x:v>article_excerpt</x:v>
      </x:c>
      <x:c r="S9" s="3" t="str">
        <x:v>Headline and introduction on development expectations</x:v>
      </x:c>
      <x:c r="T9" s="3" t="str">
        <x:v>original_page</x:v>
      </x:c>
      <x:c r="U9" s="4" t="d">
        <x:v>2026-10-22T00:00:00.000Z</x:v>
      </x:c>
      <x:c r="V9" s="9" t="str">
        <x:v>https://www.theguardian.com/football/2023/dec/28/what-has-happened-to-us-soccers-golden-generation</x:v>
      </x:c>
      <x:c r="W9" s="3" t="str">
        <x:v>provisional</x:v>
      </x:c>
      <x:c r="X9" s="3" t="str"/>
      <x:c r="Y9" s="3" t="str"/>
    </x:row>
    <x:row r="10" ht="54" customHeight="1">
      <x:c r="A10" s="3" t="str">
        <x:v>SOC009</x:v>
      </x:c>
      <x:c r="B10" s="3" t="str">
        <x:v>athlete_mobility</x:v>
      </x:c>
      <x:c r="C10" s="3" t="str">
        <x:v>soccer</x:v>
      </x:c>
      <x:c r="D10" s="3" t="str">
        <x:v>Richards Dallas to Munich</x:v>
      </x:c>
      <x:c r="E10" s="4" t="d">
        <x:v>2020-08-04T00:00:00.000Z</x:v>
      </x:c>
      <x:c r="F10" s="3" t="str">
        <x:v>published</x:v>
      </x:c>
      <x:c r="G10" s="3" t="str">
        <x:v>The Guardian</x:v>
      </x:c>
      <x:c r="H10" s="3" t="str">
        <x:v>The Guardian</x:v>
      </x:c>
      <x:c r="I10" s="3" t="str">
        <x:v>independent</x:v>
      </x:c>
      <x:c r="J10" s="3" t="str">
        <x:v>Chris Richards</x:v>
      </x:c>
      <x:c r="K10" s="3" t="str">
        <x:v>English</x:v>
      </x:c>
      <x:c r="L10" s="3" t="str">
        <x:v>Describes a pathway connecting domestic development and German opportunity.</x:v>
      </x:c>
      <x:c r="M10" s="3" t="str">
        <x:v>yes</x:v>
      </x:c>
      <x:c r="N10" s="3" t="str">
        <x:v>yes</x:v>
      </x:c>
      <x:c r="O10" s="3" t="str">
        <x:v>unclear</x:v>
      </x:c>
      <x:c r="P10" s="3" t="str">
        <x:v>unclear</x:v>
      </x:c>
      <x:c r="Q10" s="3" t="str">
        <x:v>relocation_discussed</x:v>
      </x:c>
      <x:c r="R10" s="3" t="str">
        <x:v>article_excerpt</x:v>
      </x:c>
      <x:c r="S10" s="3" t="str">
        <x:v>Dallas and Bayern partnership discussion</x:v>
      </x:c>
      <x:c r="T10" s="3" t="str">
        <x:v>original_page</x:v>
      </x:c>
      <x:c r="U10" s="4" t="d">
        <x:v>2026-10-22T00:00:00.000Z</x:v>
      </x:c>
      <x:c r="V10" s="9" t="str">
        <x:v>https://www.theguardian.com/football/2020/aug/04/chris-richards-bayern-munich-usmnt-soccer</x:v>
      </x:c>
      <x:c r="W10" s="3" t="str">
        <x:v>provisional</x:v>
      </x:c>
      <x:c r="X10" s="3" t="str"/>
      <x:c r="Y10" s="3" t="str"/>
    </x:row>
    <x:row r="11" ht="54" customHeight="1">
      <x:c r="A11" s="3" t="str">
        <x:v>SOC010</x:v>
      </x:c>
      <x:c r="B11" s="3" t="str">
        <x:v>athlete_mobility</x:v>
      </x:c>
      <x:c r="C11" s="3" t="str">
        <x:v>soccer</x:v>
      </x:c>
      <x:c r="D11" s="3" t="str">
        <x:v>Sargent and American departures</x:v>
      </x:c>
      <x:c r="E11" s="4" t="d">
        <x:v>2018-12-13T00:00:00.000Z</x:v>
      </x:c>
      <x:c r="F11" s="3" t="str">
        <x:v>published</x:v>
      </x:c>
      <x:c r="G11" s="3" t="str">
        <x:v>Soccer America</x:v>
      </x:c>
      <x:c r="H11" s="3" t="str">
        <x:v>Soccer America</x:v>
      </x:c>
      <x:c r="I11" s="3" t="str">
        <x:v>independent</x:v>
      </x:c>
      <x:c r="J11" s="3" t="str">
        <x:v>Josh Sargent</x:v>
      </x:c>
      <x:c r="K11" s="3" t="str">
        <x:v>English</x:v>
      </x:c>
      <x:c r="L11" s="3" t="str">
        <x:v>Juxtaposes young Americans' European ambitions with MLS concerns about losing talent.</x:v>
      </x:c>
      <x:c r="M11" s="3" t="str">
        <x:v>yes</x:v>
      </x:c>
      <x:c r="N11" s="3" t="str">
        <x:v>yes</x:v>
      </x:c>
      <x:c r="O11" s="3" t="str">
        <x:v>unclear</x:v>
      </x:c>
      <x:c r="P11" s="3" t="str">
        <x:v>unclear</x:v>
      </x:c>
      <x:c r="Q11" s="3" t="str">
        <x:v>relocation_discussed</x:v>
      </x:c>
      <x:c r="R11" s="3" t="str">
        <x:v>article_excerpt</x:v>
      </x:c>
      <x:c r="S11" s="3" t="str">
        <x:v>Opening comparison with MLS commissioner's comments</x:v>
      </x:c>
      <x:c r="T11" s="3" t="str">
        <x:v>original_page</x:v>
      </x:c>
      <x:c r="U11" s="4" t="d">
        <x:v>2026-10-22T00:00:00.000Z</x:v>
      </x:c>
      <x:c r="V11" s="9" t="str">
        <x:v>https://www.socceramerica.com/tipping-point-josh-sargent-and-the-flight-of-amer/</x:v>
      </x:c>
      <x:c r="W11" s="3" t="str">
        <x:v>provisional</x:v>
      </x:c>
      <x:c r="X11" s="3" t="str"/>
      <x:c r="Y11" s="3" t="str"/>
    </x:row>
    <x:row r="12" ht="54" customHeight="1">
      <x:c r="A12" s="3" t="str">
        <x:v>SOC011</x:v>
      </x:c>
      <x:c r="B12" s="3" t="str">
        <x:v>athlete_mobility</x:v>
      </x:c>
      <x:c r="C12" s="3" t="str">
        <x:v>soccer</x:v>
      </x:c>
      <x:c r="D12" s="3" t="str">
        <x:v>Aaronson settles in Austria</x:v>
      </x:c>
      <x:c r="E12" s="4" t="d">
        <x:v>2021-01-07T00:00:00.000Z</x:v>
      </x:c>
      <x:c r="F12" s="3" t="str">
        <x:v>published</x:v>
      </x:c>
      <x:c r="G12" s="3" t="str">
        <x:v>The Ringer</x:v>
      </x:c>
      <x:c r="H12" s="3" t="str">
        <x:v>The Ringer</x:v>
      </x:c>
      <x:c r="I12" s="3" t="str">
        <x:v>independent</x:v>
      </x:c>
      <x:c r="J12" s="3" t="str">
        <x:v>Brenden Aaronson</x:v>
      </x:c>
      <x:c r="K12" s="3" t="str">
        <x:v>English</x:v>
      </x:c>
      <x:c r="L12" s="3" t="str">
        <x:v>Describes arriving alone in Salzburg after development in Philadelphia's academy.</x:v>
      </x:c>
      <x:c r="M12" s="3" t="str">
        <x:v>yes</x:v>
      </x:c>
      <x:c r="N12" s="3" t="str">
        <x:v>yes</x:v>
      </x:c>
      <x:c r="O12" s="3" t="str">
        <x:v>unclear</x:v>
      </x:c>
      <x:c r="P12" s="3" t="str">
        <x:v>unclear</x:v>
      </x:c>
      <x:c r="Q12" s="3" t="str">
        <x:v>relocation_discussed</x:v>
      </x:c>
      <x:c r="R12" s="3" t="str">
        <x:v>article_excerpt</x:v>
      </x:c>
      <x:c r="S12" s="3" t="str">
        <x:v>Opening arrival account and youth development standfirst</x:v>
      </x:c>
      <x:c r="T12" s="3" t="str">
        <x:v>original_page</x:v>
      </x:c>
      <x:c r="U12" s="4" t="d">
        <x:v>2026-10-22T00:00:00.000Z</x:v>
      </x:c>
      <x:c r="V12" s="9" t="str">
        <x:v>https://www.theringer.com/2021/01/07/soccer/brenden-aaronson-philadelphia-union-red-bull-salzburg-mls</x:v>
      </x:c>
      <x:c r="W12" s="3" t="str">
        <x:v>provisional</x:v>
      </x:c>
      <x:c r="X12" s="3" t="str"/>
      <x:c r="Y12" s="3" t="str"/>
    </x:row>
    <x:row r="13" ht="54" customHeight="1">
      <x:c r="A13" s="3" t="str">
        <x:v>SOC012</x:v>
      </x:c>
      <x:c r="B13" s="3" t="str">
        <x:v>athlete_mobility</x:v>
      </x:c>
      <x:c r="C13" s="3" t="str">
        <x:v>soccer</x:v>
      </x:c>
      <x:c r="D13" s="3" t="str">
        <x:v>US academy generation abroad</x:v>
      </x:c>
      <x:c r="E13" s="4" t="d">
        <x:v>2020-10-20T00:00:00.000Z</x:v>
      </x:c>
      <x:c r="F13" s="3" t="str">
        <x:v>published</x:v>
      </x:c>
      <x:c r="G13" s="3" t="str">
        <x:v>Axios</x:v>
      </x:c>
      <x:c r="H13" s="3" t="str">
        <x:v>Axios</x:v>
      </x:c>
      <x:c r="I13" s="3" t="str">
        <x:v>independent</x:v>
      </x:c>
      <x:c r="J13" s="3" t="str">
        <x:v>USMNT players</x:v>
      </x:c>
      <x:c r="K13" s="3" t="str">
        <x:v>English</x:v>
      </x:c>
      <x:c r="L13" s="3" t="str">
        <x:v>Links US development investment with European participation.</x:v>
      </x:c>
      <x:c r="M13" s="3" t="str">
        <x:v>yes</x:v>
      </x:c>
      <x:c r="N13" s="3" t="str">
        <x:v>yes</x:v>
      </x:c>
      <x:c r="O13" s="3" t="str">
        <x:v>unclear</x:v>
      </x:c>
      <x:c r="P13" s="3" t="str">
        <x:v>unclear</x:v>
      </x:c>
      <x:c r="Q13" s="3" t="str">
        <x:v>not_established</x:v>
      </x:c>
      <x:c r="R13" s="3" t="str">
        <x:v>article_excerpt</x:v>
      </x:c>
      <x:c r="S13" s="3" t="str">
        <x:v>Development Academy discussion</x:v>
      </x:c>
      <x:c r="T13" s="3" t="str">
        <x:v>original_page</x:v>
      </x:c>
      <x:c r="U13" s="4" t="d">
        <x:v>2026-10-22T00:00:00.000Z</x:v>
      </x:c>
      <x:c r="V13" s="9" t="str">
        <x:v>https://www.axios.com/2020/10/20/champions-league-mls-development-academy</x:v>
      </x:c>
      <x:c r="W13" s="3" t="str">
        <x:v>provisional</x:v>
      </x:c>
      <x:c r="X13" s="3" t="str"/>
      <x:c r="Y13" s="3" t="str"/>
    </x:row>
    <x:row r="14" ht="54" customHeight="1">
      <x:c r="A14" s="3" t="str">
        <x:v>SOC013</x:v>
      </x:c>
      <x:c r="B14" s="3" t="str">
        <x:v>athlete_mobility</x:v>
      </x:c>
      <x:c r="C14" s="3" t="str">
        <x:v>soccer</x:v>
      </x:c>
      <x:c r="D14" s="3" t="str">
        <x:v>Sargent development profile</x:v>
      </x:c>
      <x:c r="E14" s="4" t="d">
        <x:v>2017-11-09T00:00:00.000Z</x:v>
      </x:c>
      <x:c r="F14" s="3" t="str">
        <x:v>published</x:v>
      </x:c>
      <x:c r="G14" s="3" t="str">
        <x:v>U.S. Soccer</x:v>
      </x:c>
      <x:c r="H14" s="3" t="str">
        <x:v>U.S. Soccer</x:v>
      </x:c>
      <x:c r="I14" s="3" t="str">
        <x:v>institutional</x:v>
      </x:c>
      <x:c r="J14" s="3" t="str">
        <x:v>Josh Sargent</x:v>
      </x:c>
      <x:c r="K14" s="3" t="str">
        <x:v>English</x:v>
      </x:c>
      <x:c r="L14" s="3" t="str">
        <x:v>Presents family and the local soccer environment as formative influences.</x:v>
      </x:c>
      <x:c r="M14" s="3" t="str">
        <x:v>yes</x:v>
      </x:c>
      <x:c r="N14" s="3" t="str">
        <x:v>yes</x:v>
      </x:c>
      <x:c r="O14" s="3" t="str">
        <x:v>unclear</x:v>
      </x:c>
      <x:c r="P14" s="3" t="str">
        <x:v>unclear</x:v>
      </x:c>
      <x:c r="Q14" s="3" t="str">
        <x:v>not_established</x:v>
      </x:c>
      <x:c r="R14" s="3" t="str">
        <x:v>article_excerpt</x:v>
      </x:c>
      <x:c r="S14" s="3" t="str">
        <x:v>St. Louis Bred section</x:v>
      </x:c>
      <x:c r="T14" s="3" t="str">
        <x:v>indexed_text</x:v>
      </x:c>
      <x:c r="U14" s="4" t="d">
        <x:v>2026-10-22T00:00:00.000Z</x:v>
      </x:c>
      <x:c r="V14" s="9" t="str">
        <x:v>https://www.ussoccer.com/stories/2017/11/five-things-to-know-about-forward-josh-sargent</x:v>
      </x:c>
      <x:c r="W14" s="3" t="str">
        <x:v>provisional</x:v>
      </x:c>
      <x:c r="X14" s="3" t="str"/>
      <x:c r="Y14" s="3" t="str"/>
    </x:row>
    <x:row r="15" ht="54" customHeight="1">
      <x:c r="A15" s="3" t="str">
        <x:v>SOC014</x:v>
      </x:c>
      <x:c r="B15" s="3" t="str">
        <x:v>athlete_mobility</x:v>
      </x:c>
      <x:c r="C15" s="3" t="str">
        <x:v>soccer</x:v>
      </x:c>
      <x:c r="D15" s="3" t="str">
        <x:v>Weah leaves for France</x:v>
      </x:c>
      <x:c r="E15" s="4" t="d">
        <x:v>2018-03-12T00:00:00.000Z</x:v>
      </x:c>
      <x:c r="F15" s="3" t="str">
        <x:v>published</x:v>
      </x:c>
      <x:c r="G15" s="3" t="str">
        <x:v>U.S. Soccer</x:v>
      </x:c>
      <x:c r="H15" s="3" t="str">
        <x:v>U.S. Soccer</x:v>
      </x:c>
      <x:c r="I15" s="3" t="str">
        <x:v>institutional</x:v>
      </x:c>
      <x:c r="J15" s="3" t="str">
        <x:v>Tim Weah</x:v>
      </x:c>
      <x:c r="K15" s="3" t="str">
        <x:v>English</x:v>
      </x:c>
      <x:c r="L15" s="3" t="str">
        <x:v>Describes leaving home for France to join Paris Saint-Germain's academy.</x:v>
      </x:c>
      <x:c r="M15" s="3" t="str">
        <x:v>yes</x:v>
      </x:c>
      <x:c r="N15" s="3" t="str">
        <x:v>yes</x:v>
      </x:c>
      <x:c r="O15" s="3" t="str">
        <x:v>unclear</x:v>
      </x:c>
      <x:c r="P15" s="3" t="str">
        <x:v>unclear</x:v>
      </x:c>
      <x:c r="Q15" s="3" t="str">
        <x:v>relocation_discussed</x:v>
      </x:c>
      <x:c r="R15" s="3" t="str">
        <x:v>article_excerpt</x:v>
      </x:c>
      <x:c r="S15" s="3" t="str">
        <x:v>A traveling man section</x:v>
      </x:c>
      <x:c r="T15" s="3" t="str">
        <x:v>indexed_text</x:v>
      </x:c>
      <x:c r="U15" s="4" t="d">
        <x:v>2026-10-22T00:00:00.000Z</x:v>
      </x:c>
      <x:c r="V15" s="9" t="str">
        <x:v>https://ussoccer.com/stories/2018/03/five-things-to-know-about-u17-mnt-striker-tim-weah</x:v>
      </x:c>
      <x:c r="W15" s="3" t="str">
        <x:v>provisional</x:v>
      </x:c>
      <x:c r="X15" s="3" t="str"/>
      <x:c r="Y15" s="3" t="str"/>
    </x:row>
    <x:row r="16" ht="54" customHeight="1">
      <x:c r="A16" s="3" t="str">
        <x:v>SOC015</x:v>
      </x:c>
      <x:c r="B16" s="3" t="str">
        <x:v>athlete_mobility</x:v>
      </x:c>
      <x:c r="C16" s="3" t="str">
        <x:v>soccer</x:v>
      </x:c>
      <x:c r="D16" s="3" t="str">
        <x:v>Aaronson plans European move</x:v>
      </x:c>
      <x:c r="E16" s="4" t="d">
        <x:v>2020-10-16T00:00:00.000Z</x:v>
      </x:c>
      <x:c r="F16" s="3" t="str">
        <x:v>published</x:v>
      </x:c>
      <x:c r="G16" s="3" t="str">
        <x:v>U.S. Soccer</x:v>
      </x:c>
      <x:c r="H16" s="3" t="str">
        <x:v>U.S. Soccer</x:v>
      </x:c>
      <x:c r="I16" s="3" t="str">
        <x:v>institutional</x:v>
      </x:c>
      <x:c r="J16" s="3" t="str">
        <x:v>Brenden Aaronson</x:v>
      </x:c>
      <x:c r="K16" s="3" t="str">
        <x:v>English</x:v>
      </x:c>
      <x:c r="L16" s="3" t="str">
        <x:v>Connects a Philadelphia academy pathway with an announced move to Salzburg.</x:v>
      </x:c>
      <x:c r="M16" s="3" t="str">
        <x:v>yes</x:v>
      </x:c>
      <x:c r="N16" s="3" t="str">
        <x:v>yes</x:v>
      </x:c>
      <x:c r="O16" s="3" t="str">
        <x:v>unclear</x:v>
      </x:c>
      <x:c r="P16" s="3" t="str">
        <x:v>unclear</x:v>
      </x:c>
      <x:c r="Q16" s="3" t="str">
        <x:v>not_established</x:v>
      </x:c>
      <x:c r="R16" s="3" t="str">
        <x:v>article_excerpt</x:v>
      </x:c>
      <x:c r="S16" s="3" t="str">
        <x:v>Opening transfer announcement and academy history</x:v>
      </x:c>
      <x:c r="T16" s="3" t="str">
        <x:v>original_page</x:v>
      </x:c>
      <x:c r="U16" s="4" t="d">
        <x:v>2026-10-22T00:00:00.000Z</x:v>
      </x:c>
      <x:c r="V16" s="9" t="str">
        <x:v>https://www.ussoccer.com/stories/2020/10/usmnt-midfielder-brenden-aaronson-to-join-red-bull-salzburg-in-january</x:v>
      </x:c>
      <x:c r="W16" s="3" t="str">
        <x:v>provisional</x:v>
      </x:c>
      <x:c r="X16" s="3" t="str"/>
      <x:c r="Y16" s="3" t="str"/>
    </x:row>
    <x:row r="17" ht="54" customHeight="1">
      <x:c r="A17" s="3" t="str">
        <x:v>SOC016</x:v>
      </x:c>
      <x:c r="B17" s="3" t="str">
        <x:v>athlete_mobility</x:v>
      </x:c>
      <x:c r="C17" s="3" t="str">
        <x:v>soccer</x:v>
      </x:c>
      <x:c r="D17" s="3" t="str">
        <x:v>Aaronson adapts at Salzburg</x:v>
      </x:c>
      <x:c r="E17" s="4" t="d">
        <x:v>2021-03-23T00:00:00.000Z</x:v>
      </x:c>
      <x:c r="F17" s="3" t="str">
        <x:v>published</x:v>
      </x:c>
      <x:c r="G17" s="3" t="str">
        <x:v>U.S. Soccer</x:v>
      </x:c>
      <x:c r="H17" s="3" t="str">
        <x:v>U.S. Soccer</x:v>
      </x:c>
      <x:c r="I17" s="3" t="str">
        <x:v>institutional</x:v>
      </x:c>
      <x:c r="J17" s="3" t="str">
        <x:v>Brenden Aaronson</x:v>
      </x:c>
      <x:c r="K17" s="3" t="str">
        <x:v>English</x:v>
      </x:c>
      <x:c r="L17" s="3" t="str">
        <x:v>Discusses adjustment to professional life and national-team expectations after moving abroad.</x:v>
      </x:c>
      <x:c r="M17" s="3" t="str">
        <x:v>yes</x:v>
      </x:c>
      <x:c r="N17" s="3" t="str">
        <x:v>yes</x:v>
      </x:c>
      <x:c r="O17" s="3" t="str">
        <x:v>unclear</x:v>
      </x:c>
      <x:c r="P17" s="3" t="str">
        <x:v>unclear</x:v>
      </x:c>
      <x:c r="Q17" s="3" t="str">
        <x:v>relocation_discussed</x:v>
      </x:c>
      <x:c r="R17" s="3" t="str">
        <x:v>article_excerpt</x:v>
      </x:c>
      <x:c r="S17" s="3" t="str">
        <x:v>Opening discussion of adaptation and national-team demands</x:v>
      </x:c>
      <x:c r="T17" s="3" t="str">
        <x:v>original_page</x:v>
      </x:c>
      <x:c r="U17" s="4" t="d">
        <x:v>2026-10-22T00:00:00.000Z</x:v>
      </x:c>
      <x:c r="V17" s="9" t="str">
        <x:v>https://www.ussoccer.com/stories/2021/03/usmnt-midfielder-brenden-aaronsons-career-is-humming-with-red-bull-salzburg</x:v>
      </x:c>
      <x:c r="W17" s="3" t="str">
        <x:v>provisional</x:v>
      </x:c>
      <x:c r="X17" s="3" t="str"/>
      <x:c r="Y17" s="3" t="str"/>
    </x:row>
    <x:row r="18" ht="54" customHeight="1">
      <x:c r="A18" s="3" t="str">
        <x:v>SOC017</x:v>
      </x:c>
      <x:c r="B18" s="3" t="str">
        <x:v>athlete_mobility</x:v>
      </x:c>
      <x:c r="C18" s="3" t="str">
        <x:v>soccer</x:v>
      </x:c>
      <x:c r="D18" s="3" t="str">
        <x:v>Richards returns to Frisco</x:v>
      </x:c>
      <x:c r="E18" s="4" t="d">
        <x:v>2025-06-27T00:00:00.000Z</x:v>
      </x:c>
      <x:c r="F18" s="3" t="str">
        <x:v>published</x:v>
      </x:c>
      <x:c r="G18" s="3" t="str">
        <x:v>U.S. Soccer</x:v>
      </x:c>
      <x:c r="H18" s="3" t="str">
        <x:v>U.S. Soccer</x:v>
      </x:c>
      <x:c r="I18" s="3" t="str">
        <x:v>institutional</x:v>
      </x:c>
      <x:c r="J18" s="3" t="str">
        <x:v>Chris Richards</x:v>
      </x:c>
      <x:c r="K18" s="3" t="str">
        <x:v>English</x:v>
      </x:c>
      <x:c r="L18" s="3" t="str">
        <x:v>Connects a return to his former training setting with his overseas career.</x:v>
      </x:c>
      <x:c r="M18" s="3" t="str">
        <x:v>yes</x:v>
      </x:c>
      <x:c r="N18" s="3" t="str">
        <x:v>yes</x:v>
      </x:c>
      <x:c r="O18" s="3" t="str">
        <x:v>unclear</x:v>
      </x:c>
      <x:c r="P18" s="3" t="str">
        <x:v>unclear</x:v>
      </x:c>
      <x:c r="Q18" s="3" t="str">
        <x:v>relocation_discussed</x:v>
      </x:c>
      <x:c r="R18" s="3" t="str">
        <x:v>article_excerpt</x:v>
      </x:c>
      <x:c r="S18" s="3" t="str">
        <x:v>Full-circle account and discussion of Germany</x:v>
      </x:c>
      <x:c r="T18" s="3" t="str">
        <x:v>original_page</x:v>
      </x:c>
      <x:c r="U18" s="4" t="d">
        <x:v>2026-10-22T00:00:00.000Z</x:v>
      </x:c>
      <x:c r="V18" s="9" t="str">
        <x:v>https://www.ussoccer.com/stories/2025/06/usmnt-chris-richards-fc-dallas-concacaf-gold-cup-quarterfinal</x:v>
      </x:c>
      <x:c r="W18" s="3" t="str">
        <x:v>provisional</x:v>
      </x:c>
      <x:c r="X18" s="3" t="str"/>
      <x:c r="Y18" s="3" t="str"/>
    </x:row>
    <x:row r="19" ht="54" customHeight="1">
      <x:c r="A19" s="3" t="str">
        <x:v>SOC018</x:v>
      </x:c>
      <x:c r="B19" s="3" t="str">
        <x:v>athlete_mobility</x:v>
      </x:c>
      <x:c r="C19" s="3" t="str">
        <x:v>soccer</x:v>
      </x:c>
      <x:c r="D19" s="3" t="str">
        <x:v>US newcomers with international pathways</x:v>
      </x:c>
      <x:c r="E19" s="4" t="d">
        <x:v>2020-11-03T00:00:00.000Z</x:v>
      </x:c>
      <x:c r="F19" s="3" t="str">
        <x:v>published</x:v>
      </x:c>
      <x:c r="G19" s="3" t="str">
        <x:v>U.S. Soccer</x:v>
      </x:c>
      <x:c r="H19" s="3" t="str">
        <x:v>U.S. Soccer</x:v>
      </x:c>
      <x:c r="I19" s="3" t="str">
        <x:v>institutional</x:v>
      </x:c>
      <x:c r="J19" s="3" t="str">
        <x:v>USMNT newcomers</x:v>
      </x:c>
      <x:c r="K19" s="3" t="str">
        <x:v>English</x:v>
      </x:c>
      <x:c r="L19" s="3" t="str">
        <x:v>Describes family moves and development across Brazil, Spain, and the United States.</x:v>
      </x:c>
      <x:c r="M19" s="3" t="str">
        <x:v>yes</x:v>
      </x:c>
      <x:c r="N19" s="3" t="str">
        <x:v>yes</x:v>
      </x:c>
      <x:c r="O19" s="3" t="str">
        <x:v>unclear</x:v>
      </x:c>
      <x:c r="P19" s="3" t="str">
        <x:v>unclear</x:v>
      </x:c>
      <x:c r="Q19" s="3" t="str">
        <x:v>not_established</x:v>
      </x:c>
      <x:c r="R19" s="3" t="str">
        <x:v>article_excerpt</x:v>
      </x:c>
      <x:c r="S19" s="3" t="str">
        <x:v>Johnny Cardoso and Konrad de la Fuente sections</x:v>
      </x:c>
      <x:c r="T19" s="3" t="str">
        <x:v>indexed_text</x:v>
      </x:c>
      <x:c r="U19" s="4" t="d">
        <x:v>2026-10-22T00:00:00.000Z</x:v>
      </x:c>
      <x:c r="V19" s="9" t="str">
        <x:v>https://www.ussoccer.com/stories/2020/11/usmnt-newbies-reyna-musah-richards-and-ledezma-headline-list-of-10-november-camp-newbies</x:v>
      </x:c>
      <x:c r="W19" s="3" t="str">
        <x:v>provisional</x:v>
      </x:c>
      <x:c r="X19" s="3" t="str"/>
      <x:c r="Y19" s="3" t="str"/>
    </x:row>
    <x:row r="20" ht="54" customHeight="1">
      <x:c r="A20" s="3" t="str">
        <x:v>SOC019</x:v>
      </x:c>
      <x:c r="B20" s="3" t="str">
        <x:v>athlete_mobility</x:v>
      </x:c>
      <x:c r="C20" s="3" t="str">
        <x:v>soccer</x:v>
      </x:c>
      <x:c r="D20" s="3" t="str">
        <x:v>Adams adjusts to Germany</x:v>
      </x:c>
      <x:c r="E20" s="4" t="d">
        <x:v>2019-03-20T00:00:00.000Z</x:v>
      </x:c>
      <x:c r="F20" s="3" t="str">
        <x:v>published</x:v>
      </x:c>
      <x:c r="G20" s="3" t="str">
        <x:v>U.S. Soccer</x:v>
      </x:c>
      <x:c r="H20" s="3" t="str">
        <x:v>U.S. Soccer</x:v>
      </x:c>
      <x:c r="I20" s="3" t="str">
        <x:v>institutional</x:v>
      </x:c>
      <x:c r="J20" s="3" t="str">
        <x:v>Tyler Adams</x:v>
      </x:c>
      <x:c r="K20" s="3" t="str">
        <x:v>English</x:v>
      </x:c>
      <x:c r="L20" s="3" t="str">
        <x:v>Discusses life in Germany alongside adaptation to a new national-team system.</x:v>
      </x:c>
      <x:c r="M20" s="3" t="str">
        <x:v>yes</x:v>
      </x:c>
      <x:c r="N20" s="3" t="str">
        <x:v>yes</x:v>
      </x:c>
      <x:c r="O20" s="3" t="str">
        <x:v>unclear</x:v>
      </x:c>
      <x:c r="P20" s="3" t="str">
        <x:v>unclear</x:v>
      </x:c>
      <x:c r="Q20" s="3" t="str">
        <x:v>relocation_discussed</x:v>
      </x:c>
      <x:c r="R20" s="3" t="str">
        <x:v>article_excerpt</x:v>
      </x:c>
      <x:c r="S20" s="3" t="str">
        <x:v>Opening and questions about settling in Germany</x:v>
      </x:c>
      <x:c r="T20" s="3" t="str">
        <x:v>indexed_text</x:v>
      </x:c>
      <x:c r="U20" s="4" t="d">
        <x:v>2026-10-22T00:00:00.000Z</x:v>
      </x:c>
      <x:c r="V20" s="9" t="str">
        <x:v>https://ussoccer.com/stories/2019/03/qa-tyler-adams-on-adjusting-to-germany-and-a-new-system-with-the-us-mnt</x:v>
      </x:c>
      <x:c r="W20" s="3" t="str">
        <x:v>provisional</x:v>
      </x:c>
      <x:c r="X20" s="3" t="str"/>
      <x:c r="Y20" s="3" t="str"/>
    </x:row>
    <x:row r="21" ht="54" customHeight="1">
      <x:c r="A21" s="3" t="str">
        <x:v>SOC020</x:v>
      </x:c>
      <x:c r="B21" s="3" t="str">
        <x:v>athlete_mobility</x:v>
      </x:c>
      <x:c r="C21" s="3" t="str">
        <x:v>soccer</x:v>
      </x:c>
      <x:c r="D21" s="3" t="str">
        <x:v>Pulisic moves to Dortmund</x:v>
      </x:c>
      <x:c r="E21" s="4" t="d">
        <x:v>2017-12-14T00:00:00.000Z</x:v>
      </x:c>
      <x:c r="F21" s="3" t="str">
        <x:v>published</x:v>
      </x:c>
      <x:c r="G21" s="3" t="str">
        <x:v>U.S. Soccer</x:v>
      </x:c>
      <x:c r="H21" s="3" t="str">
        <x:v>U.S. Soccer</x:v>
      </x:c>
      <x:c r="I21" s="3" t="str">
        <x:v>institutional</x:v>
      </x:c>
      <x:c r="J21" s="3" t="str">
        <x:v>Christian Pulisic</x:v>
      </x:c>
      <x:c r="K21" s="3" t="str">
        <x:v>English</x:v>
      </x:c>
      <x:c r="L21" s="3" t="str">
        <x:v>Describes moving to Dortmund as a teenager with European eligibility.</x:v>
      </x:c>
      <x:c r="M21" s="3" t="str">
        <x:v>yes</x:v>
      </x:c>
      <x:c r="N21" s="3" t="str">
        <x:v>yes</x:v>
      </x:c>
      <x:c r="O21" s="3" t="str">
        <x:v>unclear</x:v>
      </x:c>
      <x:c r="P21" s="3" t="str">
        <x:v>unclear</x:v>
      </x:c>
      <x:c r="Q21" s="3" t="str">
        <x:v>relocation_discussed</x:v>
      </x:c>
      <x:c r="R21" s="3" t="str">
        <x:v>article_excerpt</x:v>
      </x:c>
      <x:c r="S21" s="3" t="str">
        <x:v>Dortmund move and passport discussion</x:v>
      </x:c>
      <x:c r="T21" s="3" t="str">
        <x:v>indexed_text</x:v>
      </x:c>
      <x:c r="U21" s="4" t="d">
        <x:v>2026-10-22T00:00:00.000Z</x:v>
      </x:c>
      <x:c r="V21" s="9" t="str">
        <x:v>https://www.ussoccer.com/stories/2017/12/five-things-to-know-about-mnt-midfielder-christian-pulisic</x:v>
      </x:c>
      <x:c r="W21" s="3" t="str">
        <x:v>provisional</x:v>
      </x:c>
      <x:c r="X21" s="3" t="str"/>
      <x:c r="Y21" s="3" t="str"/>
    </x:row>
    <x:row r="22" ht="54" customHeight="1">
      <x:c r="A22" s="3" t="str">
        <x:v>SOC021</x:v>
      </x:c>
      <x:c r="B22" s="3" t="str">
        <x:v>athlete_mobility</x:v>
      </x:c>
      <x:c r="C22" s="3" t="str">
        <x:v>soccer</x:v>
      </x:c>
      <x:c r="D22" s="3" t="str">
        <x:v>Dest chooses US representation</x:v>
      </x:c>
      <x:c r="E22" s="4" t="d">
        <x:v>2019-10-28T00:00:00.000Z</x:v>
      </x:c>
      <x:c r="F22" s="3" t="str">
        <x:v>published</x:v>
      </x:c>
      <x:c r="G22" s="3" t="str">
        <x:v>U.S. Soccer</x:v>
      </x:c>
      <x:c r="H22" s="3" t="str">
        <x:v>U.S. Soccer</x:v>
      </x:c>
      <x:c r="I22" s="3" t="str">
        <x:v>institutional</x:v>
      </x:c>
      <x:c r="J22" s="3" t="str">
        <x:v>Sergino Dest</x:v>
      </x:c>
      <x:c r="K22" s="3" t="str">
        <x:v>English</x:v>
      </x:c>
      <x:c r="L22" s="3" t="str">
        <x:v>Dutch-born Ajax player chooses US representation after considering international options.</x:v>
      </x:c>
      <x:c r="M22" s="3" t="str">
        <x:v>unclear</x:v>
      </x:c>
      <x:c r="N22" s="3" t="str">
        <x:v>yes</x:v>
      </x:c>
      <x:c r="O22" s="3" t="str">
        <x:v>unclear</x:v>
      </x:c>
      <x:c r="P22" s="3" t="str">
        <x:v>yes</x:v>
      </x:c>
      <x:c r="Q22" s="3" t="str">
        <x:v>not_established</x:v>
      </x:c>
      <x:c r="R22" s="3" t="str">
        <x:v>article_excerpt</x:v>
      </x:c>
      <x:c r="S22" s="3" t="str">
        <x:v>Decision announcement and national eligibility discussion</x:v>
      </x:c>
      <x:c r="T22" s="3" t="str">
        <x:v>original_page</x:v>
      </x:c>
      <x:c r="U22" s="4" t="d">
        <x:v>2026-10-22T00:00:00.000Z</x:v>
      </x:c>
      <x:c r="V22" s="9" t="str">
        <x:v>https://www.ussoccer.com/stories/2019/10/sergino-dest-commits-to-usmnt</x:v>
      </x:c>
      <x:c r="W22" s="3" t="str">
        <x:v>provisional</x:v>
      </x:c>
      <x:c r="X22" s="3" t="str"/>
      <x:c r="Y22" s="3" t="str"/>
    </x:row>
    <x:row r="23" ht="54" customHeight="1">
      <x:c r="A23" s="3" t="str">
        <x:v>SOC022</x:v>
      </x:c>
      <x:c r="B23" s="3" t="str">
        <x:v>athlete_mobility</x:v>
      </x:c>
      <x:c r="C23" s="3" t="str">
        <x:v>soccer</x:v>
      </x:c>
      <x:c r="D23" s="3" t="str">
        <x:v>Dest development and US ambitions</x:v>
      </x:c>
      <x:c r="E23" s="4" t="d">
        <x:v>2019-05-29T00:00:00.000Z</x:v>
      </x:c>
      <x:c r="F23" s="3" t="str">
        <x:v>published</x:v>
      </x:c>
      <x:c r="G23" s="3" t="str">
        <x:v>U.S. Soccer</x:v>
      </x:c>
      <x:c r="H23" s="3" t="str">
        <x:v>U.S. Soccer</x:v>
      </x:c>
      <x:c r="I23" s="3" t="str">
        <x:v>institutional</x:v>
      </x:c>
      <x:c r="J23" s="3" t="str">
        <x:v>Sergino Dest</x:v>
      </x:c>
      <x:c r="K23" s="3" t="str">
        <x:v>English</x:v>
      </x:c>
      <x:c r="L23" s="3" t="str">
        <x:v>Connects Dutch academy development with ambitions representing the United States.</x:v>
      </x:c>
      <x:c r="M23" s="3" t="str">
        <x:v>yes</x:v>
      </x:c>
      <x:c r="N23" s="3" t="str">
        <x:v>yes</x:v>
      </x:c>
      <x:c r="O23" s="3" t="str">
        <x:v>unclear</x:v>
      </x:c>
      <x:c r="P23" s="3" t="str">
        <x:v>unclear</x:v>
      </x:c>
      <x:c r="Q23" s="3" t="str">
        <x:v>not_established</x:v>
      </x:c>
      <x:c r="R23" s="3" t="str">
        <x:v>article_excerpt</x:v>
      </x:c>
      <x:c r="S23" s="3" t="str">
        <x:v>Opening US visit and Ajax development discussion</x:v>
      </x:c>
      <x:c r="T23" s="3" t="str">
        <x:v>original_page</x:v>
      </x:c>
      <x:c r="U23" s="4" t="d">
        <x:v>2026-10-22T00:00:00.000Z</x:v>
      </x:c>
      <x:c r="V23" s="9" t="str">
        <x:v>https://www.ussoccer.com/stories/2019/05/big-dreams-carry-sergino-dest-from-netherlands-to-u20-world-cup-with-the-usa</x:v>
      </x:c>
      <x:c r="W23" s="3" t="str">
        <x:v>provisional</x:v>
      </x:c>
      <x:c r="X23" s="3" t="str"/>
      <x:c r="Y23" s="3" t="str"/>
    </x:row>
    <x:row r="24" ht="54" customHeight="1">
      <x:c r="A24" s="3" t="str">
        <x:v>SOC023</x:v>
      </x:c>
      <x:c r="B24" s="3" t="str">
        <x:v>athlete_mobility</x:v>
      </x:c>
      <x:c r="C24" s="3" t="str">
        <x:v>soccer</x:v>
      </x:c>
      <x:c r="D24" s="3" t="str">
        <x:v>Musah identity and supporters</x:v>
      </x:c>
      <x:c r="E24" s="4" t="d">
        <x:v>2021-03-15T00:00:00.000Z</x:v>
      </x:c>
      <x:c r="F24" s="3" t="str">
        <x:v>published</x:v>
      </x:c>
      <x:c r="G24" s="3" t="str">
        <x:v>U.S. Soccer</x:v>
      </x:c>
      <x:c r="H24" s="3" t="str">
        <x:v>U.S. Soccer</x:v>
      </x:c>
      <x:c r="I24" s="3" t="str">
        <x:v>institutional</x:v>
      </x:c>
      <x:c r="J24" s="3" t="str">
        <x:v>Yunus Musah</x:v>
      </x:c>
      <x:c r="K24" s="3" t="str">
        <x:v>English</x:v>
      </x:c>
      <x:c r="L24" s="3" t="str">
        <x:v>Describes choosing among four countries and how US supporters helped him feel wanted.</x:v>
      </x:c>
      <x:c r="M24" s="3" t="str">
        <x:v>yes</x:v>
      </x:c>
      <x:c r="N24" s="3" t="str">
        <x:v>yes</x:v>
      </x:c>
      <x:c r="O24" s="3" t="str">
        <x:v>yes</x:v>
      </x:c>
      <x:c r="P24" s="3" t="str">
        <x:v>yes</x:v>
      </x:c>
      <x:c r="Q24" s="3" t="str">
        <x:v>not_established</x:v>
      </x:c>
      <x:c r="R24" s="3" t="str">
        <x:v>article_excerpt</x:v>
      </x:c>
      <x:c r="S24" s="3" t="str">
        <x:v>Eligibility discussion and social media support paragraphs</x:v>
      </x:c>
      <x:c r="T24" s="3" t="str">
        <x:v>indexed_text</x:v>
      </x:c>
      <x:c r="U24" s="4" t="d">
        <x:v>2026-10-22T00:00:00.000Z</x:v>
      </x:c>
      <x:c r="V24" s="9" t="str">
        <x:v>https://www.ussoccer.com/stories/2021/03/you-cant-spell-musah-without-usa</x:v>
      </x:c>
      <x:c r="W24" s="3" t="str">
        <x:v>provisional</x:v>
      </x:c>
      <x:c r="X24" s="3" t="str"/>
      <x:c r="Y24" s="3" t="str"/>
    </x:row>
    <x:row r="25" ht="54" customHeight="1">
      <x:c r="A25" s="3" t="str">
        <x:v>SOC024</x:v>
      </x:c>
      <x:c r="B25" s="3" t="str">
        <x:v>athlete_mobility</x:v>
      </x:c>
      <x:c r="C25" s="3" t="str">
        <x:v>soccer</x:v>
      </x:c>
      <x:c r="D25" s="3" t="str">
        <x:v>Balogun chooses US representation</x:v>
      </x:c>
      <x:c r="E25" s="4" t="d">
        <x:v>2023-05-16T00:00:00.000Z</x:v>
      </x:c>
      <x:c r="F25" s="3" t="str">
        <x:v>published</x:v>
      </x:c>
      <x:c r="G25" s="3" t="str">
        <x:v>U.S. Soccer</x:v>
      </x:c>
      <x:c r="H25" s="3" t="str">
        <x:v>U.S. Soccer</x:v>
      </x:c>
      <x:c r="I25" s="3" t="str">
        <x:v>institutional</x:v>
      </x:c>
      <x:c r="J25" s="3" t="str">
        <x:v>Folarin Balogun</x:v>
      </x:c>
      <x:c r="K25" s="3" t="str">
        <x:v>English</x:v>
      </x:c>
      <x:c r="L25" s="3" t="str">
        <x:v>Describes switching association after English youth representation and weighing multiple national options.</x:v>
      </x:c>
      <x:c r="M25" s="3" t="str">
        <x:v>yes</x:v>
      </x:c>
      <x:c r="N25" s="3" t="str">
        <x:v>yes</x:v>
      </x:c>
      <x:c r="O25" s="3" t="str">
        <x:v>unclear</x:v>
      </x:c>
      <x:c r="P25" s="3" t="str">
        <x:v>yes</x:v>
      </x:c>
      <x:c r="Q25" s="3" t="str">
        <x:v>not_established</x:v>
      </x:c>
      <x:c r="R25" s="3" t="str">
        <x:v>article_excerpt</x:v>
      </x:c>
      <x:c r="S25" s="3" t="str">
        <x:v>Opening announcement and family decision quotation</x:v>
      </x:c>
      <x:c r="T25" s="3" t="str">
        <x:v>indexed_text</x:v>
      </x:c>
      <x:c r="U25" s="4" t="d">
        <x:v>2026-10-22T00:00:00.000Z</x:v>
      </x:c>
      <x:c r="V25" s="9" t="str">
        <x:v>https://www.ussoccer.com/stories/2023/05/forward-folarin-balogun-commits-to-represent-the-united-states-in-international-competition</x:v>
      </x:c>
      <x:c r="W25" s="3" t="str">
        <x:v>provisional</x:v>
      </x:c>
      <x:c r="X25" s="3" t="str"/>
      <x:c r="Y25" s="3" t="str"/>
    </x:row>
    <x:row r="26" ht="54" customHeight="1">
      <x:c r="A26" s="3" t="str">
        <x:v>SOC025</x:v>
      </x:c>
      <x:c r="B26" s="3" t="str">
        <x:v>athlete_mobility</x:v>
      </x:c>
      <x:c r="C26" s="3" t="str">
        <x:v>soccer</x:v>
      </x:c>
      <x:c r="D26" s="3" t="str">
        <x:v>Pepi chooses Augsburg</x:v>
      </x:c>
      <x:c r="E26" s="4" t="d">
        <x:v>2022-01-06T00:00:00.000Z</x:v>
      </x:c>
      <x:c r="F26" s="3" t="str">
        <x:v>published</x:v>
      </x:c>
      <x:c r="G26" s="3" t="str">
        <x:v>FOX Sports</x:v>
      </x:c>
      <x:c r="H26" s="3" t="str">
        <x:v>FOX Sports</x:v>
      </x:c>
      <x:c r="I26" s="3" t="str">
        <x:v>independent</x:v>
      </x:c>
      <x:c r="J26" s="3" t="str">
        <x:v>Ricardo Pepi</x:v>
      </x:c>
      <x:c r="K26" s="3" t="str">
        <x:v>English</x:v>
      </x:c>
      <x:c r="L26" s="3" t="str">
        <x:v>Discusses why the US forward chose Augsburg.</x:v>
      </x:c>
      <x:c r="M26" s="3" t="str">
        <x:v>yes</x:v>
      </x:c>
      <x:c r="N26" s="3" t="str">
        <x:v>yes</x:v>
      </x:c>
      <x:c r="O26" s="3" t="str">
        <x:v>unclear</x:v>
      </x:c>
      <x:c r="P26" s="3" t="str">
        <x:v>unclear</x:v>
      </x:c>
      <x:c r="Q26" s="3" t="str">
        <x:v>not_established</x:v>
      </x:c>
      <x:c r="R26" s="3" t="str">
        <x:v>article_excerpt</x:v>
      </x:c>
      <x:c r="S26" s="3" t="str">
        <x:v>Indexed opening and pathway discussion</x:v>
      </x:c>
      <x:c r="T26" s="3" t="str">
        <x:v>indexed_text</x:v>
      </x:c>
      <x:c r="U26" s="4" t="d">
        <x:v>2026-10-22T00:00:00.000Z</x:v>
      </x:c>
      <x:c r="V26" s="9" t="str">
        <x:v>https://www.foxsports.com/stories/soccer/why-ricardo-pepi-left-fc-dallas-for-german-club-augsburg</x:v>
      </x:c>
      <x:c r="W26" s="3" t="str">
        <x:v>provisional</x:v>
      </x:c>
      <x:c r="X26" s="3" t="str"/>
      <x:c r="Y26" s="3" t="str"/>
    </x:row>
    <x:row r="27" ht="54" customHeight="1">
      <x:c r="A27" s="3" t="str">
        <x:v>NBA001</x:v>
      </x:c>
      <x:c r="B27" s="3" t="str">
        <x:v>nba_global</x:v>
      </x:c>
      <x:c r="C27" s="3" t="str">
        <x:v>basketball</x:v>
      </x:c>
      <x:c r="D27" s="3" t="str">
        <x:v>Giannis and Greek fans</x:v>
      </x:c>
      <x:c r="E27" s="4" t="d">
        <x:v>2021-07-21T00:00:00.000Z</x:v>
      </x:c>
      <x:c r="F27" s="3" t="str">
        <x:v>published</x:v>
      </x:c>
      <x:c r="G27" s="3" t="str">
        <x:v>NBA.com</x:v>
      </x:c>
      <x:c r="H27" s="3" t="str">
        <x:v>Associated Press</x:v>
      </x:c>
      <x:c r="I27" s="3" t="str">
        <x:v>independent</x:v>
      </x:c>
      <x:c r="J27" s="3" t="str">
        <x:v>Giannis Antetokounmpo</x:v>
      </x:c>
      <x:c r="K27" s="3" t="str">
        <x:v>English</x:v>
      </x:c>
      <x:c r="L27" s="3" t="str">
        <x:v>Greece-based fans celebrate his NBA championship.</x:v>
      </x:c>
      <x:c r="M27" s="3" t="str">
        <x:v>no</x:v>
      </x:c>
      <x:c r="N27" s="3" t="str">
        <x:v>yes</x:v>
      </x:c>
      <x:c r="O27" s="3" t="str">
        <x:v>yes</x:v>
      </x:c>
      <x:c r="P27" s="3" t="str">
        <x:v>no</x:v>
      </x:c>
      <x:c r="Q27" s="3" t="str">
        <x:v>not_established</x:v>
      </x:c>
      <x:c r="R27" s="3" t="str">
        <x:v>article_body</x:v>
      </x:c>
      <x:c r="S27" s="3" t="str">
        <x:v>Opening account of cafe viewing</x:v>
      </x:c>
      <x:c r="T27" s="3" t="str">
        <x:v>original_page</x:v>
      </x:c>
      <x:c r="U27" s="4" t="d">
        <x:v>2026-10-22T00:00:00.000Z</x:v>
      </x:c>
      <x:c r="V27" s="9" t="str">
        <x:v>https://www.nba.com/news/giannis-biggest-fans-watch-celebrate-title-a-world-away</x:v>
      </x:c>
      <x:c r="W27" s="3" t="str">
        <x:v>provisional</x:v>
      </x:c>
      <x:c r="X27" s="3" t="str"/>
      <x:c r="Y27" s="3" t="str"/>
    </x:row>
    <x:row r="28" ht="54" customHeight="1">
      <x:c r="A28" s="3" t="str">
        <x:v>NBA002</x:v>
      </x:c>
      <x:c r="B28" s="3" t="str">
        <x:v>nba_global</x:v>
      </x:c>
      <x:c r="C28" s="3" t="str">
        <x:v>basketball</x:v>
      </x:c>
      <x:c r="D28" s="3" t="str">
        <x:v>Giannis family citizenship</x:v>
      </x:c>
      <x:c r="E28" s="4" t="d">
        <x:v>2021-09-16T00:00:00.000Z</x:v>
      </x:c>
      <x:c r="F28" s="3" t="str">
        <x:v>published</x:v>
      </x:c>
      <x:c r="G28" s="3" t="str">
        <x:v>NBA.com</x:v>
      </x:c>
      <x:c r="H28" s="3" t="str">
        <x:v>Associated Press</x:v>
      </x:c>
      <x:c r="I28" s="3" t="str">
        <x:v>independent</x:v>
      </x:c>
      <x:c r="J28" s="3" t="str">
        <x:v>Giannis Antetokounmpo</x:v>
      </x:c>
      <x:c r="K28" s="3" t="str">
        <x:v>English</x:v>
      </x:c>
      <x:c r="L28" s="3" t="str">
        <x:v>Connects Greek citizenship and his move to the United States.</x:v>
      </x:c>
      <x:c r="M28" s="3" t="str">
        <x:v>no</x:v>
      </x:c>
      <x:c r="N28" s="3" t="str">
        <x:v>yes</x:v>
      </x:c>
      <x:c r="O28" s="3" t="str">
        <x:v>unclear</x:v>
      </x:c>
      <x:c r="P28" s="3" t="str">
        <x:v>no</x:v>
      </x:c>
      <x:c r="Q28" s="3" t="str">
        <x:v>relocation_discussed</x:v>
      </x:c>
      <x:c r="R28" s="3" t="str">
        <x:v>article_body</x:v>
      </x:c>
      <x:c r="S28" s="3" t="str">
        <x:v>Citizenship ceremony and move to United States</x:v>
      </x:c>
      <x:c r="T28" s="3" t="str">
        <x:v>original_page</x:v>
      </x:c>
      <x:c r="U28" s="4" t="d">
        <x:v>2026-10-22T00:00:00.000Z</x:v>
      </x:c>
      <x:c r="V28" s="9" t="str">
        <x:v>https://www.nba.com/news/giannis-antetokounmpo-in-greece-as-mother-youngest-brother-granted-citizenship</x:v>
      </x:c>
      <x:c r="W28" s="3" t="str">
        <x:v>provisional</x:v>
      </x:c>
      <x:c r="X28" s="3" t="str"/>
      <x:c r="Y28" s="3" t="str"/>
    </x:row>
    <x:row r="29" ht="54" customHeight="1">
      <x:c r="A29" s="3" t="str">
        <x:v>NBA003</x:v>
      </x:c>
      <x:c r="B29" s="3" t="str">
        <x:v>nba_global</x:v>
      </x:c>
      <x:c r="C29" s="3" t="str">
        <x:v>basketball</x:v>
      </x:c>
      <x:c r="D29" s="3" t="str">
        <x:v>Jokic hometown celebrates</x:v>
      </x:c>
      <x:c r="E29" s="4" t="d">
        <x:v>2023-06-13T00:00:00.000Z</x:v>
      </x:c>
      <x:c r="F29" s="3" t="str">
        <x:v>published</x:v>
      </x:c>
      <x:c r="G29" s="3" t="str">
        <x:v>NBA.com</x:v>
      </x:c>
      <x:c r="H29" s="3" t="str">
        <x:v>Associated Press</x:v>
      </x:c>
      <x:c r="I29" s="3" t="str">
        <x:v>independent</x:v>
      </x:c>
      <x:c r="J29" s="3" t="str">
        <x:v>Nikola Jokic</x:v>
      </x:c>
      <x:c r="K29" s="3" t="str">
        <x:v>English</x:v>
      </x:c>
      <x:c r="L29" s="3" t="str">
        <x:v>Serbian hometown fans celebrate Denver's NBA title.</x:v>
      </x:c>
      <x:c r="M29" s="3" t="str">
        <x:v>unclear</x:v>
      </x:c>
      <x:c r="N29" s="3" t="str">
        <x:v>yes</x:v>
      </x:c>
      <x:c r="O29" s="3" t="str">
        <x:v>yes</x:v>
      </x:c>
      <x:c r="P29" s="3" t="str">
        <x:v>unclear</x:v>
      </x:c>
      <x:c r="Q29" s="3" t="str">
        <x:v>not_established</x:v>
      </x:c>
      <x:c r="R29" s="3" t="str">
        <x:v>article_excerpt</x:v>
      </x:c>
      <x:c r="S29" s="3" t="str">
        <x:v>Opening Sombor viewing account</x:v>
      </x:c>
      <x:c r="T29" s="3" t="str">
        <x:v>indexed_text</x:v>
      </x:c>
      <x:c r="U29" s="4" t="d">
        <x:v>2026-10-22T00:00:00.000Z</x:v>
      </x:c>
      <x:c r="V29" s="9" t="str">
        <x:v>https://www.nba.com/news/nikola-jokics-hometown-in-serbia-celebrates-nuggets-1st-nba-title</x:v>
      </x:c>
      <x:c r="W29" s="3" t="str">
        <x:v>provisional</x:v>
      </x:c>
      <x:c r="X29" s="3" t="str"/>
      <x:c r="Y29" s="3" t="str"/>
    </x:row>
    <x:row r="30" ht="54" customHeight="1">
      <x:c r="A30" s="3" t="str">
        <x:v>NBA004</x:v>
      </x:c>
      <x:c r="B30" s="3" t="str">
        <x:v>nba_global</x:v>
      </x:c>
      <x:c r="C30" s="3" t="str">
        <x:v>basketball</x:v>
      </x:c>
      <x:c r="D30" s="3" t="str">
        <x:v>Jokic national-team connection</x:v>
      </x:c>
      <x:c r="E30" s="4"/>
      <x:c r="F30" s="3" t="str">
        <x:v>not_displayed</x:v>
      </x:c>
      <x:c r="G30" s="3" t="str">
        <x:v>FIBA</x:v>
      </x:c>
      <x:c r="H30" s="3" t="str">
        <x:v>FIBA</x:v>
      </x:c>
      <x:c r="I30" s="3" t="str">
        <x:v>institutional</x:v>
      </x:c>
      <x:c r="J30" s="3" t="str">
        <x:v>Nikola Jokic</x:v>
      </x:c>
      <x:c r="K30" s="3" t="str">
        <x:v>English</x:v>
      </x:c>
      <x:c r="L30" s="3" t="str">
        <x:v>National-team performance is presented as strengthening his connection with Serbian supporters.</x:v>
      </x:c>
      <x:c r="M30" s="3" t="str">
        <x:v>unclear</x:v>
      </x:c>
      <x:c r="N30" s="3" t="str">
        <x:v>yes</x:v>
      </x:c>
      <x:c r="O30" s="3" t="str">
        <x:v>yes</x:v>
      </x:c>
      <x:c r="P30" s="3" t="str">
        <x:v>unclear</x:v>
      </x:c>
      <x:c r="Q30" s="3" t="str">
        <x:v>not_established</x:v>
      </x:c>
      <x:c r="R30" s="3" t="str">
        <x:v>article_excerpt</x:v>
      </x:c>
      <x:c r="S30" s="3" t="str">
        <x:v>Opening paragraphs and assistant coach interview</x:v>
      </x:c>
      <x:c r="T30" s="3" t="str">
        <x:v>indexed_text</x:v>
      </x:c>
      <x:c r="U30" s="4" t="d">
        <x:v>2026-10-22T00:00:00.000Z</x:v>
      </x:c>
      <x:c r="V30" s="9" t="str">
        <x:v>https://www.fiba.basketball/en/events/mens-olympic-basketball-tournament-paris-2024/news/jokics-hero-status-rises-among-serbian-fans-post-paris</x:v>
      </x:c>
      <x:c r="W30" s="3" t="str">
        <x:v>provisional</x:v>
      </x:c>
      <x:c r="X30" s="3" t="str"/>
      <x:c r="Y30" s="3" t="str">
        <x:v>No date displayed in inspected text; the account discusses the Paris 2024 Olympics.</x:v>
      </x:c>
    </x:row>
    <x:row r="31" ht="54" customHeight="1">
      <x:c r="A31" s="3" t="str">
        <x:v>NBA005</x:v>
      </x:c>
      <x:c r="B31" s="3" t="str">
        <x:v>nba_global</x:v>
      </x:c>
      <x:c r="C31" s="3" t="str">
        <x:v>basketball</x:v>
      </x:c>
      <x:c r="D31" s="3" t="str">
        <x:v>Jokic values national-team experience</x:v>
      </x:c>
      <x:c r="E31" s="4"/>
      <x:c r="F31" s="3" t="str">
        <x:v>not_displayed</x:v>
      </x:c>
      <x:c r="G31" s="3" t="str">
        <x:v>FIBA</x:v>
      </x:c>
      <x:c r="H31" s="3" t="str">
        <x:v>FIBA</x:v>
      </x:c>
      <x:c r="I31" s="3" t="str">
        <x:v>institutional</x:v>
      </x:c>
      <x:c r="J31" s="3" t="str">
        <x:v>Nikola Jokic</x:v>
      </x:c>
      <x:c r="K31" s="3" t="str">
        <x:v>English</x:v>
      </x:c>
      <x:c r="L31" s="3" t="str">
        <x:v>Describes national-team participation as meaningful and potentially useful for NBA competition.</x:v>
      </x:c>
      <x:c r="M31" s="3" t="str">
        <x:v>yes</x:v>
      </x:c>
      <x:c r="N31" s="3" t="str">
        <x:v>yes</x:v>
      </x:c>
      <x:c r="O31" s="3" t="str">
        <x:v>yes</x:v>
      </x:c>
      <x:c r="P31" s="3" t="str">
        <x:v>unclear</x:v>
      </x:c>
      <x:c r="Q31" s="3" t="str">
        <x:v>not_established</x:v>
      </x:c>
      <x:c r="R31" s="3" t="str">
        <x:v>article_excerpt</x:v>
      </x:c>
      <x:c r="S31" s="3" t="str">
        <x:v>Opening and interview about representing country</x:v>
      </x:c>
      <x:c r="T31" s="3" t="str">
        <x:v>original_page</x:v>
      </x:c>
      <x:c r="U31" s="4" t="d">
        <x:v>2026-10-22T00:00:00.000Z</x:v>
      </x:c>
      <x:c r="V31" s="9" t="str">
        <x:v>https://www.fiba.basketball/en/news/jokic-sees-serbian-national-team-experience-as-nba-advantage</x:v>
      </x:c>
      <x:c r="W31" s="3" t="str">
        <x:v>provisional</x:v>
      </x:c>
      <x:c r="X31" s="3" t="str"/>
      <x:c r="Y31" s="3" t="str">
        <x:v>No date displayed in inspected text; the account discusses the Paris 2024 Olympics.</x:v>
      </x:c>
    </x:row>
    <x:row r="32" ht="54" customHeight="1">
      <x:c r="A32" s="3" t="str">
        <x:v>NBA006</x:v>
      </x:c>
      <x:c r="B32" s="3" t="str">
        <x:v>nba_global</x:v>
      </x:c>
      <x:c r="C32" s="3" t="str">
        <x:v>basketball</x:v>
      </x:c>
      <x:c r="D32" s="3" t="str">
        <x:v>Serbian Jokic podcast supporters</x:v>
      </x:c>
      <x:c r="E32" s="4" t="d">
        <x:v>2021-10-20T00:00:00.000Z</x:v>
      </x:c>
      <x:c r="F32" s="3" t="str">
        <x:v>published</x:v>
      </x:c>
      <x:c r="G32" s="3" t="str">
        <x:v>5280</x:v>
      </x:c>
      <x:c r="H32" s="3" t="str">
        <x:v>5280</x:v>
      </x:c>
      <x:c r="I32" s="3" t="str">
        <x:v>independent</x:v>
      </x:c>
      <x:c r="J32" s="3" t="str">
        <x:v>Nikola Jokic</x:v>
      </x:c>
      <x:c r="K32" s="3" t="str">
        <x:v>English</x:v>
      </x:c>
      <x:c r="L32" s="3" t="str">
        <x:v>Explores how Serbian supporters follow Jokic and Denver through online fan communities.</x:v>
      </x:c>
      <x:c r="M32" s="3" t="str">
        <x:v>unclear</x:v>
      </x:c>
      <x:c r="N32" s="3" t="str">
        <x:v>yes</x:v>
      </x:c>
      <x:c r="O32" s="3" t="str">
        <x:v>yes</x:v>
      </x:c>
      <x:c r="P32" s="3" t="str">
        <x:v>unclear</x:v>
      </x:c>
      <x:c r="Q32" s="3" t="str">
        <x:v>not_established</x:v>
      </x:c>
      <x:c r="R32" s="3" t="str">
        <x:v>article_excerpt</x:v>
      </x:c>
      <x:c r="S32" s="3" t="str">
        <x:v>Opening and interview with Nuggets Serbia podcast hosts</x:v>
      </x:c>
      <x:c r="T32" s="3" t="str">
        <x:v>indexed_text</x:v>
      </x:c>
      <x:c r="U32" s="4" t="d">
        <x:v>2026-10-22T00:00:00.000Z</x:v>
      </x:c>
      <x:c r="V32" s="9" t="str">
        <x:v>https://5280.com/nikola-jokic-week-serbian-superfans/</x:v>
      </x:c>
      <x:c r="W32" s="3" t="str">
        <x:v>provisional</x:v>
      </x:c>
      <x:c r="X32" s="3" t="str"/>
      <x:c r="Y32" s="3" t="str"/>
    </x:row>
    <x:row r="33" ht="54" customHeight="1">
      <x:c r="A33" s="3" t="str">
        <x:v>NBA007</x:v>
      </x:c>
      <x:c r="B33" s="3" t="str">
        <x:v>nba_global</x:v>
      </x:c>
      <x:c r="C33" s="3" t="str">
        <x:v>basketball</x:v>
      </x:c>
      <x:c r="D33" s="3" t="str">
        <x:v>Doncic hometown school connection</x:v>
      </x:c>
      <x:c r="E33" s="4" t="d">
        <x:v>2024-06-09T00:00:00.000Z</x:v>
      </x:c>
      <x:c r="F33" s="3" t="str">
        <x:v>published</x:v>
      </x:c>
      <x:c r="G33" s="3" t="str">
        <x:v>NBA.com</x:v>
      </x:c>
      <x:c r="H33" s="3" t="str">
        <x:v>Associated Press</x:v>
      </x:c>
      <x:c r="I33" s="3" t="str">
        <x:v>independent</x:v>
      </x:c>
      <x:c r="J33" s="3" t="str">
        <x:v>Luka Doncic</x:v>
      </x:c>
      <x:c r="K33" s="3" t="str">
        <x:v>English</x:v>
      </x:c>
      <x:c r="L33" s="3" t="str">
        <x:v>Connects NBA prominence with his Slovenian school.</x:v>
      </x:c>
      <x:c r="M33" s="3" t="str">
        <x:v>yes</x:v>
      </x:c>
      <x:c r="N33" s="3" t="str">
        <x:v>yes</x:v>
      </x:c>
      <x:c r="O33" s="3" t="str">
        <x:v>yes</x:v>
      </x:c>
      <x:c r="P33" s="3" t="str">
        <x:v>unclear</x:v>
      </x:c>
      <x:c r="Q33" s="3" t="str">
        <x:v>not_established</x:v>
      </x:c>
      <x:c r="R33" s="3" t="str">
        <x:v>article_excerpt</x:v>
      </x:c>
      <x:c r="S33" s="3" t="str">
        <x:v>School discussion</x:v>
      </x:c>
      <x:c r="T33" s="3" t="str">
        <x:v>original_page</x:v>
      </x:c>
      <x:c r="U33" s="4" t="d">
        <x:v>2026-10-22T00:00:00.000Z</x:v>
      </x:c>
      <x:c r="V33" s="9" t="str">
        <x:v>https://www.nba.com/news/luka-doncic-hometown-hero-in-slovenia-2024-nba-finals</x:v>
      </x:c>
      <x:c r="W33" s="3" t="str">
        <x:v>provisional</x:v>
      </x:c>
      <x:c r="X33" s="3" t="str"/>
      <x:c r="Y33" s="3" t="str"/>
    </x:row>
    <x:row r="34" ht="54" customHeight="1">
      <x:c r="A34" s="3" t="str">
        <x:v>NBA008</x:v>
      </x:c>
      <x:c r="B34" s="3" t="str">
        <x:v>nba_global</x:v>
      </x:c>
      <x:c r="C34" s="3" t="str">
        <x:v>basketball</x:v>
      </x:c>
      <x:c r="D34" s="3" t="str">
        <x:v>Doncic farewell to Dallas</x:v>
      </x:c>
      <x:c r="E34" s="4" t="d">
        <x:v>2025-02-03T00:00:00.000Z</x:v>
      </x:c>
      <x:c r="F34" s="3" t="str">
        <x:v>published</x:v>
      </x:c>
      <x:c r="G34" s="3" t="str">
        <x:v>NBA.com</x:v>
      </x:c>
      <x:c r="H34" s="3" t="str">
        <x:v>NBA.com Staff</x:v>
      </x:c>
      <x:c r="I34" s="3" t="str">
        <x:v>institutional</x:v>
      </x:c>
      <x:c r="J34" s="3" t="str">
        <x:v>Luka Doncic</x:v>
      </x:c>
      <x:c r="K34" s="3" t="str">
        <x:v>English</x:v>
      </x:c>
      <x:c r="L34" s="3" t="str">
        <x:v>Credits Dallas supporters with making a Slovenian newcomer feel at home.</x:v>
      </x:c>
      <x:c r="M34" s="3" t="str">
        <x:v>unclear</x:v>
      </x:c>
      <x:c r="N34" s="3" t="str">
        <x:v>yes</x:v>
      </x:c>
      <x:c r="O34" s="3" t="str">
        <x:v>yes</x:v>
      </x:c>
      <x:c r="P34" s="3" t="str">
        <x:v>unclear</x:v>
      </x:c>
      <x:c r="Q34" s="3" t="str">
        <x:v>relocation_discussed</x:v>
      </x:c>
      <x:c r="R34" s="3" t="str">
        <x:v>article_excerpt</x:v>
      </x:c>
      <x:c r="S34" s="3" t="str">
        <x:v>Letter to Dallas supporters</x:v>
      </x:c>
      <x:c r="T34" s="3" t="str">
        <x:v>original_page</x:v>
      </x:c>
      <x:c r="U34" s="4" t="d">
        <x:v>2026-10-22T00:00:00.000Z</x:v>
      </x:c>
      <x:c r="V34" s="9" t="str">
        <x:v>https://www.nba.com/news/luka-doncic-thanks-mavericks-fans-in-heartfelt-message</x:v>
      </x:c>
      <x:c r="W34" s="3" t="str">
        <x:v>provisional</x:v>
      </x:c>
      <x:c r="X34" s="3" t="str"/>
      <x:c r="Y34" s="3" t="str"/>
    </x:row>
    <x:row r="35" ht="54" customHeight="1">
      <x:c r="A35" s="3" t="str">
        <x:v>NBA009</x:v>
      </x:c>
      <x:c r="B35" s="3" t="str">
        <x:v>nba_global</x:v>
      </x:c>
      <x:c r="C35" s="3" t="str">
        <x:v>basketball</x:v>
      </x:c>
      <x:c r="D35" s="3" t="str">
        <x:v>Doncic welcomed in Slovenia</x:v>
      </x:c>
      <x:c r="E35" s="4" t="d">
        <x:v>2021-08-08T00:00:00.000Z</x:v>
      </x:c>
      <x:c r="F35" s="3" t="str">
        <x:v>published</x:v>
      </x:c>
      <x:c r="G35" s="3" t="str">
        <x:v>NBC Sports</x:v>
      </x:c>
      <x:c r="H35" s="3" t="str">
        <x:v>NBC Sports</x:v>
      </x:c>
      <x:c r="I35" s="3" t="str">
        <x:v>independent</x:v>
      </x:c>
      <x:c r="J35" s="3" t="str">
        <x:v>Luka Doncic</x:v>
      </x:c>
      <x:c r="K35" s="3" t="str">
        <x:v>English</x:v>
      </x:c>
      <x:c r="L35" s="3" t="str">
        <x:v>Slovenian supporters welcome the national team despite missing an Olympic medal.</x:v>
      </x:c>
      <x:c r="M35" s="3" t="str">
        <x:v>unclear</x:v>
      </x:c>
      <x:c r="N35" s="3" t="str">
        <x:v>yes</x:v>
      </x:c>
      <x:c r="O35" s="3" t="str">
        <x:v>yes</x:v>
      </x:c>
      <x:c r="P35" s="3" t="str">
        <x:v>unclear</x:v>
      </x:c>
      <x:c r="Q35" s="3" t="str">
        <x:v>not_established</x:v>
      </x:c>
      <x:c r="R35" s="3" t="str">
        <x:v>article_excerpt</x:v>
      </x:c>
      <x:c r="S35" s="3" t="str">
        <x:v>Airport welcome discussion</x:v>
      </x:c>
      <x:c r="T35" s="3" t="str">
        <x:v>original_page</x:v>
      </x:c>
      <x:c r="U35" s="4" t="d">
        <x:v>2026-10-22T00:00:00.000Z</x:v>
      </x:c>
      <x:c r="V35" s="9" t="str">
        <x:v>https://www.nbcsports.com/nba/news/watch-fans-welcome-luka-doncic-slovenia-mens-basketball-team-home-from-tokyo-olympics-video</x:v>
      </x:c>
      <x:c r="W35" s="3" t="str">
        <x:v>provisional</x:v>
      </x:c>
      <x:c r="X35" s="3" t="str"/>
      <x:c r="Y35" s="3" t="str"/>
    </x:row>
    <x:row r="36" ht="54" customHeight="1">
      <x:c r="A36" s="3" t="str">
        <x:v>NBA010</x:v>
      </x:c>
      <x:c r="B36" s="3" t="str">
        <x:v>nba_global</x:v>
      </x:c>
      <x:c r="C36" s="3" t="str">
        <x:v>basketball</x:v>
      </x:c>
      <x:c r="D36" s="3" t="str">
        <x:v>Doncic international media attention</x:v>
      </x:c>
      <x:c r="E36" s="4" t="d">
        <x:v>2024-06-06T00:00:00.000Z</x:v>
      </x:c>
      <x:c r="F36" s="3" t="str">
        <x:v>published</x:v>
      </x:c>
      <x:c r="G36" s="3" t="str">
        <x:v>Sports Business Journal</x:v>
      </x:c>
      <x:c r="H36" s="3" t="str">
        <x:v>Sports Business Journal</x:v>
      </x:c>
      <x:c r="I36" s="3" t="str">
        <x:v>independent</x:v>
      </x:c>
      <x:c r="J36" s="3" t="str">
        <x:v>Luka Doncic</x:v>
      </x:c>
      <x:c r="K36" s="3" t="str">
        <x:v>English</x:v>
      </x:c>
      <x:c r="L36" s="3" t="str">
        <x:v>Links Doncic to Slovenian viewership, international broadcasters, and NBA Finals viewing events.</x:v>
      </x:c>
      <x:c r="M36" s="3" t="str">
        <x:v>unclear</x:v>
      </x:c>
      <x:c r="N36" s="3" t="str">
        <x:v>yes</x:v>
      </x:c>
      <x:c r="O36" s="3" t="str">
        <x:v>yes</x:v>
      </x:c>
      <x:c r="P36" s="3" t="str">
        <x:v>unclear</x:v>
      </x:c>
      <x:c r="Q36" s="3" t="str">
        <x:v>not_established</x:v>
      </x:c>
      <x:c r="R36" s="3" t="str">
        <x:v>article_excerpt</x:v>
      </x:c>
      <x:c r="S36" s="3" t="str">
        <x:v>League Pass and international Finals coverage paragraphs</x:v>
      </x:c>
      <x:c r="T36" s="3" t="str">
        <x:v>original_page</x:v>
      </x:c>
      <x:c r="U36" s="4" t="d">
        <x:v>2026-10-22T00:00:00.000Z</x:v>
      </x:c>
      <x:c r="V36" s="9" t="str">
        <x:v>https://www.sportsbusinessjournal.com/Articles/2024/06/06/nba-finals-international-media-presence/</x:v>
      </x:c>
      <x:c r="W36" s="3" t="str">
        <x:v>provisional</x:v>
      </x:c>
      <x:c r="X36" s="3" t="str"/>
      <x:c r="Y36" s="3" t="str"/>
    </x:row>
    <x:row r="37" ht="54" customHeight="1">
      <x:c r="A37" s="3" t="str">
        <x:v>NBA011</x:v>
      </x:c>
      <x:c r="B37" s="3" t="str">
        <x:v>nba_global</x:v>
      </x:c>
      <x:c r="C37" s="3" t="str">
        <x:v>basketball</x:v>
      </x:c>
      <x:c r="D37" s="3" t="str">
        <x:v>Gilgeous-Alexander Canadian MVP</x:v>
      </x:c>
      <x:c r="E37" s="4" t="d">
        <x:v>2025-05-22T00:00:00.000Z</x:v>
      </x:c>
      <x:c r="F37" s="3" t="str">
        <x:v>published</x:v>
      </x:c>
      <x:c r="G37" s="3" t="str">
        <x:v>Global News</x:v>
      </x:c>
      <x:c r="H37" s="3" t="str">
        <x:v>Global News</x:v>
      </x:c>
      <x:c r="I37" s="3" t="str">
        <x:v>independent</x:v>
      </x:c>
      <x:c r="J37" s="3" t="str">
        <x:v>Shai Gilgeous-Alexander</x:v>
      </x:c>
      <x:c r="K37" s="3" t="str">
        <x:v>English</x:v>
      </x:c>
      <x:c r="L37" s="3" t="str">
        <x:v>Frames his award within Canadian basketball history.</x:v>
      </x:c>
      <x:c r="M37" s="3" t="str">
        <x:v>unclear</x:v>
      </x:c>
      <x:c r="N37" s="3" t="str">
        <x:v>yes</x:v>
      </x:c>
      <x:c r="O37" s="3" t="str">
        <x:v>unclear</x:v>
      </x:c>
      <x:c r="P37" s="3" t="str">
        <x:v>unclear</x:v>
      </x:c>
      <x:c r="Q37" s="3" t="str">
        <x:v>not_established</x:v>
      </x:c>
      <x:c r="R37" s="3" t="str">
        <x:v>article_excerpt</x:v>
      </x:c>
      <x:c r="S37" s="3" t="str">
        <x:v>Opening comparison with Steve Nash</x:v>
      </x:c>
      <x:c r="T37" s="3" t="str">
        <x:v>indexed_text</x:v>
      </x:c>
      <x:c r="U37" s="4" t="d">
        <x:v>2026-10-22T00:00:00.000Z</x:v>
      </x:c>
      <x:c r="V37" s="9" t="str">
        <x:v>https://globalnews.ca/news/11190460/shai-gilgeous-alexander-nba-mvp-steve-nash/</x:v>
      </x:c>
      <x:c r="W37" s="3" t="str">
        <x:v>provisional</x:v>
      </x:c>
      <x:c r="X37" s="3" t="str"/>
      <x:c r="Y37" s="3" t="str"/>
    </x:row>
    <x:row r="38" ht="54" customHeight="1">
      <x:c r="A38" s="3" t="str">
        <x:v>NBA012</x:v>
      </x:c>
      <x:c r="B38" s="3" t="str">
        <x:v>nba_global</x:v>
      </x:c>
      <x:c r="C38" s="3" t="str">
        <x:v>basketball</x:v>
      </x:c>
      <x:c r="D38" s="3" t="str">
        <x:v>Gilgeous-Alexander Canadian recognition</x:v>
      </x:c>
      <x:c r="E38" s="4" t="d">
        <x:v>2023-12-11T00:00:00.000Z</x:v>
      </x:c>
      <x:c r="F38" s="3" t="str">
        <x:v>published</x:v>
      </x:c>
      <x:c r="G38" s="3" t="str">
        <x:v>Team Canada</x:v>
      </x:c>
      <x:c r="H38" s="3" t="str">
        <x:v>Canadian Olympic Committee</x:v>
      </x:c>
      <x:c r="I38" s="3" t="str">
        <x:v>institutional</x:v>
      </x:c>
      <x:c r="J38" s="3" t="str">
        <x:v>Shai Gilgeous-Alexander</x:v>
      </x:c>
      <x:c r="K38" s="3" t="str">
        <x:v>English</x:v>
      </x:c>
      <x:c r="L38" s="3" t="str">
        <x:v>National recognition connects his Canadian international performances with his NBA achievements.</x:v>
      </x:c>
      <x:c r="M38" s="3" t="str">
        <x:v>unclear</x:v>
      </x:c>
      <x:c r="N38" s="3" t="str">
        <x:v>yes</x:v>
      </x:c>
      <x:c r="O38" s="3" t="str">
        <x:v>unclear</x:v>
      </x:c>
      <x:c r="P38" s="3" t="str">
        <x:v>unclear</x:v>
      </x:c>
      <x:c r="Q38" s="3" t="str">
        <x:v>not_established</x:v>
      </x:c>
      <x:c r="R38" s="3" t="str">
        <x:v>article_excerpt</x:v>
      </x:c>
      <x:c r="S38" s="3" t="str">
        <x:v>Award announcement and country versus club discussion</x:v>
      </x:c>
      <x:c r="T38" s="3" t="str">
        <x:v>original_page</x:v>
      </x:c>
      <x:c r="U38" s="4" t="d">
        <x:v>2026-10-22T00:00:00.000Z</x:v>
      </x:c>
      <x:c r="V38" s="9" t="str">
        <x:v>https://olympic.ca/2023/12/11/shai-gilgeous-alexander-named-canadas-athlete-of-the-year-for-2023/</x:v>
      </x:c>
      <x:c r="W38" s="3" t="str">
        <x:v>provisional</x:v>
      </x:c>
      <x:c r="X38" s="3" t="str"/>
      <x:c r="Y38" s="3" t="str"/>
    </x:row>
    <x:row r="39" ht="54" customHeight="1">
      <x:c r="A39" s="3" t="str">
        <x:v>NBA013</x:v>
      </x:c>
      <x:c r="B39" s="3" t="str">
        <x:v>nba_global</x:v>
      </x:c>
      <x:c r="C39" s="3" t="str">
        <x:v>basketball</x:v>
      </x:c>
      <x:c r="D39" s="3" t="str">
        <x:v>MVP award and international players</x:v>
      </x:c>
      <x:c r="E39" s="4" t="d">
        <x:v>2025-05-21T00:00:00.000Z</x:v>
      </x:c>
      <x:c r="F39" s="3" t="str">
        <x:v>published</x:v>
      </x:c>
      <x:c r="G39" s="3" t="str">
        <x:v>The Washington Post</x:v>
      </x:c>
      <x:c r="H39" s="3" t="str">
        <x:v>The Washington Post</x:v>
      </x:c>
      <x:c r="I39" s="3" t="str">
        <x:v>independent</x:v>
      </x:c>
      <x:c r="J39" s="3" t="str">
        <x:v>Shai Gilgeous-Alexander</x:v>
      </x:c>
      <x:c r="K39" s="3" t="str">
        <x:v>English</x:v>
      </x:c>
      <x:c r="L39" s="3" t="str">
        <x:v>Places his award within an international-player winning streak.</x:v>
      </x:c>
      <x:c r="M39" s="3" t="str">
        <x:v>unclear</x:v>
      </x:c>
      <x:c r="N39" s="3" t="str">
        <x:v>yes</x:v>
      </x:c>
      <x:c r="O39" s="3" t="str">
        <x:v>unclear</x:v>
      </x:c>
      <x:c r="P39" s="3" t="str">
        <x:v>unclear</x:v>
      </x:c>
      <x:c r="Q39" s="3" t="str">
        <x:v>not_established</x:v>
      </x:c>
      <x:c r="R39" s="3" t="str">
        <x:v>article_excerpt</x:v>
      </x:c>
      <x:c r="S39" s="3" t="str">
        <x:v>Canadian MVP and foreign-born winners discussion</x:v>
      </x:c>
      <x:c r="T39" s="3" t="str">
        <x:v>original_page</x:v>
      </x:c>
      <x:c r="U39" s="4" t="d">
        <x:v>2026-10-22T00:00:00.000Z</x:v>
      </x:c>
      <x:c r="V39" s="9" t="str">
        <x:v>https://www.washingtonpost.com/sports/2025/05/21/shai-gilgeous-alexander-nba-mvp/</x:v>
      </x:c>
      <x:c r="W39" s="3" t="str">
        <x:v>provisional</x:v>
      </x:c>
      <x:c r="X39" s="3" t="str"/>
      <x:c r="Y39" s="3" t="str"/>
    </x:row>
    <x:row r="40" ht="54" customHeight="1">
      <x:c r="A40" s="3" t="str">
        <x:v>NBA014</x:v>
      </x:c>
      <x:c r="B40" s="3" t="str">
        <x:v>nba_global</x:v>
      </x:c>
      <x:c r="C40" s="3" t="str">
        <x:v>basketball</x:v>
      </x:c>
      <x:c r="D40" s="3" t="str">
        <x:v>Giannis Greek and Nigerian identity</x:v>
      </x:c>
      <x:c r="E40" s="4" t="d">
        <x:v>2022-09-22T00:00:00.000Z</x:v>
      </x:c>
      <x:c r="F40" s="3" t="str">
        <x:v>published</x:v>
      </x:c>
      <x:c r="G40" s="3" t="str">
        <x:v>Eurohoops</x:v>
      </x:c>
      <x:c r="H40" s="3" t="str">
        <x:v>Eurohoops</x:v>
      </x:c>
      <x:c r="I40" s="3" t="str">
        <x:v>independent</x:v>
      </x:c>
      <x:c r="J40" s="3" t="str">
        <x:v>Giannis Antetokounmpo</x:v>
      </x:c>
      <x:c r="K40" s="3" t="str">
        <x:v>English</x:v>
      </x:c>
      <x:c r="L40" s="3" t="str">
        <x:v>Presents his own account of belonging to both Greece and Nigeria.</x:v>
      </x:c>
      <x:c r="M40" s="3" t="str">
        <x:v>unclear</x:v>
      </x:c>
      <x:c r="N40" s="3" t="str">
        <x:v>yes</x:v>
      </x:c>
      <x:c r="O40" s="3" t="str">
        <x:v>unclear</x:v>
      </x:c>
      <x:c r="P40" s="3" t="str">
        <x:v>yes</x:v>
      </x:c>
      <x:c r="Q40" s="3" t="str">
        <x:v>not_established</x:v>
      </x:c>
      <x:c r="R40" s="3" t="str">
        <x:v>article_excerpt</x:v>
      </x:c>
      <x:c r="S40" s="3" t="str">
        <x:v>Naija Odyssey discussion and identity statements</x:v>
      </x:c>
      <x:c r="T40" s="3" t="str">
        <x:v>original_page</x:v>
      </x:c>
      <x:c r="U40" s="4" t="d">
        <x:v>2026-10-22T00:00:00.000Z</x:v>
      </x:c>
      <x:c r="V40" s="9" t="str">
        <x:v>https://www.eurohoops.net/en/nba-news/1394148/giannis-antetokounmpo-talks-short-film-naija-odyssey-nigeria-greece/</x:v>
      </x:c>
      <x:c r="W40" s="3" t="str">
        <x:v>provisional</x:v>
      </x:c>
      <x:c r="X40" s="3" t="str"/>
      <x:c r="Y40" s="3" t="str"/>
    </x:row>
    <x:row r="41" ht="54" customHeight="1">
      <x:c r="A41" s="3" t="str">
        <x:v>NBA015</x:v>
      </x:c>
      <x:c r="B41" s="3" t="str">
        <x:v>nba_global</x:v>
      </x:c>
      <x:c r="C41" s="3" t="str">
        <x:v>basketball</x:v>
      </x:c>
      <x:c r="D41" s="3" t="str">
        <x:v>Giannis visits Nigeria</x:v>
      </x:c>
      <x:c r="E41" s="4" t="d">
        <x:v>2023-07-31T00:00:00.000Z</x:v>
      </x:c>
      <x:c r="F41" s="3" t="str">
        <x:v>published</x:v>
      </x:c>
      <x:c r="G41" s="3" t="str">
        <x:v>Punch</x:v>
      </x:c>
      <x:c r="H41" s="3" t="str">
        <x:v>Punch</x:v>
      </x:c>
      <x:c r="I41" s="3" t="str">
        <x:v>independent</x:v>
      </x:c>
      <x:c r="J41" s="3" t="str">
        <x:v>Giannis Antetokounmpo</x:v>
      </x:c>
      <x:c r="K41" s="3" t="str">
        <x:v>English</x:v>
      </x:c>
      <x:c r="L41" s="3" t="str">
        <x:v>Describes his first Nigeria visit and engagement with young basketball players.</x:v>
      </x:c>
      <x:c r="M41" s="3" t="str">
        <x:v>yes</x:v>
      </x:c>
      <x:c r="N41" s="3" t="str">
        <x:v>yes</x:v>
      </x:c>
      <x:c r="O41" s="3" t="str">
        <x:v>yes</x:v>
      </x:c>
      <x:c r="P41" s="3" t="str">
        <x:v>unclear</x:v>
      </x:c>
      <x:c r="Q41" s="3" t="str">
        <x:v>not_established</x:v>
      </x:c>
      <x:c r="R41" s="3" t="str">
        <x:v>article_excerpt</x:v>
      </x:c>
      <x:c r="S41" s="3" t="str">
        <x:v>Opening and Rowe Park youth basketball account</x:v>
      </x:c>
      <x:c r="T41" s="3" t="str">
        <x:v>original_page</x:v>
      </x:c>
      <x:c r="U41" s="4" t="d">
        <x:v>2026-10-22T00:00:00.000Z</x:v>
      </x:c>
      <x:c r="V41" s="9" t="str">
        <x:v>https://punchng.com/giannis-relishes-first-nigeria-visit/</x:v>
      </x:c>
      <x:c r="W41" s="3" t="str">
        <x:v>provisional</x:v>
      </x:c>
      <x:c r="X41" s="3" t="str"/>
      <x:c r="Y41" s="3" t="str"/>
    </x:row>
    <x:row r="42" ht="54" customHeight="1">
      <x:c r="A42" s="3" t="str">
        <x:v>NBA016</x:v>
      </x:c>
      <x:c r="B42" s="3" t="str">
        <x:v>nba_global</x:v>
      </x:c>
      <x:c r="C42" s="3" t="str">
        <x:v>basketball</x:v>
      </x:c>
      <x:c r="D42" s="3" t="str">
        <x:v>Wembanyama welcomed in Paris</x:v>
      </x:c>
      <x:c r="E42" s="4" t="d">
        <x:v>2025-01-23T00:00:00.000Z</x:v>
      </x:c>
      <x:c r="F42" s="3" t="str">
        <x:v>published</x:v>
      </x:c>
      <x:c r="G42" s="3" t="str">
        <x:v>NBA.com</x:v>
      </x:c>
      <x:c r="H42" s="3" t="str">
        <x:v>Associated Press</x:v>
      </x:c>
      <x:c r="I42" s="3" t="str">
        <x:v>independent</x:v>
      </x:c>
      <x:c r="J42" s="3" t="str">
        <x:v>Victor Wembanyama</x:v>
      </x:c>
      <x:c r="K42" s="3" t="str">
        <x:v>English</x:v>
      </x:c>
      <x:c r="L42" s="3" t="str">
        <x:v>French spectators welcome the returning NBA star.</x:v>
      </x:c>
      <x:c r="M42" s="3" t="str">
        <x:v>unclear</x:v>
      </x:c>
      <x:c r="N42" s="3" t="str">
        <x:v>yes</x:v>
      </x:c>
      <x:c r="O42" s="3" t="str">
        <x:v>yes</x:v>
      </x:c>
      <x:c r="P42" s="3" t="str">
        <x:v>unclear</x:v>
      </x:c>
      <x:c r="Q42" s="3" t="str">
        <x:v>not_established</x:v>
      </x:c>
      <x:c r="R42" s="3" t="str">
        <x:v>article_excerpt</x:v>
      </x:c>
      <x:c r="S42" s="3" t="str">
        <x:v>Opening crowd reaction in Paris</x:v>
      </x:c>
      <x:c r="T42" s="3" t="str">
        <x:v>indexed_text</x:v>
      </x:c>
      <x:c r="U42" s="4" t="d">
        <x:v>2026-10-22T00:00:00.000Z</x:v>
      </x:c>
      <x:c r="V42" s="9" t="str">
        <x:v>https://www.nba.com/news/victor-wembanyama-gets-a-heros-welcome-in-paris</x:v>
      </x:c>
      <x:c r="W42" s="3" t="str">
        <x:v>provisional</x:v>
      </x:c>
      <x:c r="X42" s="3" t="str"/>
      <x:c r="Y42" s="3" t="str"/>
    </x:row>
    <x:row r="43" ht="54" customHeight="1">
      <x:c r="A43" s="3" t="str">
        <x:v>NBA017</x:v>
      </x:c>
      <x:c r="B43" s="3" t="str">
        <x:v>nba_global</x:v>
      </x:c>
      <x:c r="C43" s="3" t="str">
        <x:v>basketball</x:v>
      </x:c>
      <x:c r="D43" s="3" t="str">
        <x:v>NBA Paris audience claims</x:v>
      </x:c>
      <x:c r="E43" s="4" t="d">
        <x:v>2025-01-24T00:00:00.000Z</x:v>
      </x:c>
      <x:c r="F43" s="3" t="str">
        <x:v>published</x:v>
      </x:c>
      <x:c r="G43" s="3" t="str">
        <x:v>NBA Communications</x:v>
      </x:c>
      <x:c r="H43" s="3" t="str">
        <x:v>NBA</x:v>
      </x:c>
      <x:c r="I43" s="3" t="str">
        <x:v>institutional</x:v>
      </x:c>
      <x:c r="J43" s="3" t="str">
        <x:v>Victor Wembanyama</x:v>
      </x:c>
      <x:c r="K43" s="3" t="str">
        <x:v>English</x:v>
      </x:c>
      <x:c r="L43" s="3" t="str">
        <x:v>League release claims record French viewership and substantial engagement around Wembanyama's Paris appearance.</x:v>
      </x:c>
      <x:c r="M43" s="3" t="str">
        <x:v>unclear</x:v>
      </x:c>
      <x:c r="N43" s="3" t="str">
        <x:v>yes</x:v>
      </x:c>
      <x:c r="O43" s="3" t="str">
        <x:v>yes</x:v>
      </x:c>
      <x:c r="P43" s="3" t="str">
        <x:v>unclear</x:v>
      </x:c>
      <x:c r="Q43" s="3" t="str">
        <x:v>not_established</x:v>
      </x:c>
      <x:c r="R43" s="3" t="str">
        <x:v>article_excerpt</x:v>
      </x:c>
      <x:c r="S43" s="3" t="str">
        <x:v>Television and social media engagement release</x:v>
      </x:c>
      <x:c r="T43" s="3" t="str">
        <x:v>original_page</x:v>
      </x:c>
      <x:c r="U43" s="4" t="d">
        <x:v>2026-10-22T00:00:00.000Z</x:v>
      </x:c>
      <x:c r="V43" s="9" t="str">
        <x:v>https://pr.nba.com/pacers-spurs-paris-game-viewership/</x:v>
      </x:c>
      <x:c r="W43" s="3" t="str">
        <x:v>provisional</x:v>
      </x:c>
      <x:c r="X43" s="3" t="str"/>
      <x:c r="Y43" s="3" t="str"/>
    </x:row>
    <x:row r="44" ht="54" customHeight="1">
      <x:c r="A44" s="3" t="str">
        <x:v>NBA018</x:v>
      </x:c>
      <x:c r="B44" s="3" t="str">
        <x:v>nba_global</x:v>
      </x:c>
      <x:c r="C44" s="3" t="str">
        <x:v>basketball</x:v>
      </x:c>
      <x:c r="D44" s="3" t="str">
        <x:v>Wembanyama homecoming and marketing</x:v>
      </x:c>
      <x:c r="E44" s="4" t="d">
        <x:v>2025-01-23T00:00:00.000Z</x:v>
      </x:c>
      <x:c r="F44" s="3" t="str">
        <x:v>published</x:v>
      </x:c>
      <x:c r="G44" s="3" t="str">
        <x:v>Sports Business Journal</x:v>
      </x:c>
      <x:c r="H44" s="3" t="str">
        <x:v>Sports Business Journal</x:v>
      </x:c>
      <x:c r="I44" s="3" t="str">
        <x:v>independent</x:v>
      </x:c>
      <x:c r="J44" s="3" t="str">
        <x:v>Victor Wembanyama</x:v>
      </x:c>
      <x:c r="K44" s="3" t="str">
        <x:v>English</x:v>
      </x:c>
      <x:c r="L44" s="3" t="str">
        <x:v>Reports how the Paris games combine a French star's homecoming with fan and sponsor activity.</x:v>
      </x:c>
      <x:c r="M44" s="3" t="str">
        <x:v>unclear</x:v>
      </x:c>
      <x:c r="N44" s="3" t="str">
        <x:v>yes</x:v>
      </x:c>
      <x:c r="O44" s="3" t="str">
        <x:v>yes</x:v>
      </x:c>
      <x:c r="P44" s="3" t="str">
        <x:v>unclear</x:v>
      </x:c>
      <x:c r="Q44" s="3" t="str">
        <x:v>not_established</x:v>
      </x:c>
      <x:c r="R44" s="3" t="str">
        <x:v>article_excerpt</x:v>
      </x:c>
      <x:c r="S44" s="3" t="str">
        <x:v>Opening discussion of fans and commercial activations</x:v>
      </x:c>
      <x:c r="T44" s="3" t="str">
        <x:v>original_page</x:v>
      </x:c>
      <x:c r="U44" s="4" t="d">
        <x:v>2026-10-22T00:00:00.000Z</x:v>
      </x:c>
      <x:c r="V44" s="9" t="str">
        <x:v>https://www.sportsbusinessjournal.com/Articles/2025/01/23/nba-paris-games/</x:v>
      </x:c>
      <x:c r="W44" s="3" t="str">
        <x:v>provisional</x:v>
      </x:c>
      <x:c r="X44" s="3" t="str"/>
      <x:c r="Y44" s="3" t="str"/>
    </x:row>
    <x:row r="45" ht="54" customHeight="1">
      <x:c r="A45" s="3" t="str">
        <x:v>NBA019</x:v>
      </x:c>
      <x:c r="B45" s="3" t="str">
        <x:v>nba_global</x:v>
      </x:c>
      <x:c r="C45" s="3" t="str">
        <x:v>basketball</x:v>
      </x:c>
      <x:c r="D45" s="3" t="str">
        <x:v>Embiid chooses United States</x:v>
      </x:c>
      <x:c r="E45" s="4" t="d">
        <x:v>2023-10-05T00:00:00.000Z</x:v>
      </x:c>
      <x:c r="F45" s="3" t="str">
        <x:v>published</x:v>
      </x:c>
      <x:c r="G45" s="3" t="str">
        <x:v>CityNews Toronto</x:v>
      </x:c>
      <x:c r="H45" s="3" t="str">
        <x:v>Associated Press</x:v>
      </x:c>
      <x:c r="I45" s="3" t="str">
        <x:v>independent</x:v>
      </x:c>
      <x:c r="J45" s="3" t="str">
        <x:v>Joel Embiid</x:v>
      </x:c>
      <x:c r="K45" s="3" t="str">
        <x:v>English</x:v>
      </x:c>
      <x:c r="L45" s="3" t="str">
        <x:v>Cameroon-born NBA player chooses US representation despite other national options.</x:v>
      </x:c>
      <x:c r="M45" s="3" t="str">
        <x:v>unclear</x:v>
      </x:c>
      <x:c r="N45" s="3" t="str">
        <x:v>yes</x:v>
      </x:c>
      <x:c r="O45" s="3" t="str">
        <x:v>unclear</x:v>
      </x:c>
      <x:c r="P45" s="3" t="str">
        <x:v>yes</x:v>
      </x:c>
      <x:c r="Q45" s="3" t="str">
        <x:v>not_established</x:v>
      </x:c>
      <x:c r="R45" s="3" t="str">
        <x:v>article_excerpt</x:v>
      </x:c>
      <x:c r="S45" s="3" t="str">
        <x:v>Opening decision and three-country eligibility discussion</x:v>
      </x:c>
      <x:c r="T45" s="3" t="str">
        <x:v>original_page</x:v>
      </x:c>
      <x:c r="U45" s="4" t="d">
        <x:v>2026-10-22T00:00:00.000Z</x:v>
      </x:c>
      <x:c r="V45" s="9" t="str">
        <x:v>https://toronto.citynews.ca/2023/10/05/joel-embiid-picks-usa-basketball-ap-source-says-and-plans-to-play-in-paris-olympics/</x:v>
      </x:c>
      <x:c r="W45" s="3" t="str">
        <x:v>provisional</x:v>
      </x:c>
      <x:c r="X45" s="3" t="str"/>
      <x:c r="Y45" s="3" t="str"/>
    </x:row>
    <x:row r="46" ht="54" customHeight="1">
      <x:c r="A46" s="3" t="str">
        <x:v>NBA020</x:v>
      </x:c>
      <x:c r="B46" s="3" t="str">
        <x:v>nba_global</x:v>
      </x:c>
      <x:c r="C46" s="3" t="str">
        <x:v>basketball</x:v>
      </x:c>
      <x:c r="D46" s="3" t="str">
        <x:v>Embiid and Cameroon ambitions</x:v>
      </x:c>
      <x:c r="E46" s="4" t="d">
        <x:v>2023-05-16T00:00:00.000Z</x:v>
      </x:c>
      <x:c r="F46" s="3" t="str">
        <x:v>published</x:v>
      </x:c>
      <x:c r="G46" s="3" t="str">
        <x:v>Al Jazeera</x:v>
      </x:c>
      <x:c r="H46" s="3" t="str">
        <x:v>Al Jazeera</x:v>
      </x:c>
      <x:c r="I46" s="3" t="str">
        <x:v>independent</x:v>
      </x:c>
      <x:c r="J46" s="3" t="str">
        <x:v>Joel Embiid</x:v>
      </x:c>
      <x:c r="K46" s="3" t="str">
        <x:v>English</x:v>
      </x:c>
      <x:c r="L46" s="3" t="str">
        <x:v>Explores Cameroonian hopes alongside his national-team options.</x:v>
      </x:c>
      <x:c r="M46" s="3" t="str">
        <x:v>yes</x:v>
      </x:c>
      <x:c r="N46" s="3" t="str">
        <x:v>yes</x:v>
      </x:c>
      <x:c r="O46" s="3" t="str">
        <x:v>yes</x:v>
      </x:c>
      <x:c r="P46" s="3" t="str">
        <x:v>yes</x:v>
      </x:c>
      <x:c r="Q46" s="3" t="str">
        <x:v>not_established</x:v>
      </x:c>
      <x:c r="R46" s="3" t="str">
        <x:v>article_excerpt</x:v>
      </x:c>
      <x:c r="S46" s="3" t="str">
        <x:v>Complicated relationship section</x:v>
      </x:c>
      <x:c r="T46" s="3" t="str">
        <x:v>original_page</x:v>
      </x:c>
      <x:c r="U46" s="4" t="d">
        <x:v>2026-10-22T00:00:00.000Z</x:v>
      </x:c>
      <x:c r="V46" s="9" t="str">
        <x:v>https://www.aljazeera.com/amp/sports/2023/5/16/joel-embiid-nba-mvp-cameroon-basketball</x:v>
      </x:c>
      <x:c r="W46" s="3" t="str">
        <x:v>provisional</x:v>
      </x:c>
      <x:c r="X46" s="3" t="str"/>
      <x:c r="Y46" s="3" t="str"/>
    </x:row>
    <x:row r="47" ht="54" customHeight="1">
      <x:c r="A47" s="3" t="str">
        <x:v>NBA021</x:v>
      </x:c>
      <x:c r="B47" s="3" t="str">
        <x:v>nba_global</x:v>
      </x:c>
      <x:c r="C47" s="3" t="str">
        <x:v>basketball</x:v>
      </x:c>
      <x:c r="D47" s="3" t="str">
        <x:v>Hachimura and Japanese media</x:v>
      </x:c>
      <x:c r="E47" s="4" t="d">
        <x:v>2019-07-16T00:00:00.000Z</x:v>
      </x:c>
      <x:c r="F47" s="3" t="str">
        <x:v>published</x:v>
      </x:c>
      <x:c r="G47" s="3" t="str">
        <x:v>Washington Wizards</x:v>
      </x:c>
      <x:c r="H47" s="3" t="str">
        <x:v>Washington Wizards</x:v>
      </x:c>
      <x:c r="I47" s="3" t="str">
        <x:v>institutional</x:v>
      </x:c>
      <x:c r="J47" s="3" t="str">
        <x:v>Rui Hachimura</x:v>
      </x:c>
      <x:c r="K47" s="3" t="str">
        <x:v>English</x:v>
      </x:c>
      <x:c r="L47" s="3" t="str">
        <x:v>Describes Japanese media attention around his NBA entry.</x:v>
      </x:c>
      <x:c r="M47" s="3" t="str">
        <x:v>unclear</x:v>
      </x:c>
      <x:c r="N47" s="3" t="str">
        <x:v>yes</x:v>
      </x:c>
      <x:c r="O47" s="3" t="str">
        <x:v>yes</x:v>
      </x:c>
      <x:c r="P47" s="3" t="str">
        <x:v>unclear</x:v>
      </x:c>
      <x:c r="Q47" s="3" t="str">
        <x:v>not_established</x:v>
      </x:c>
      <x:c r="R47" s="3" t="str">
        <x:v>article_excerpt</x:v>
      </x:c>
      <x:c r="S47" s="3" t="str">
        <x:v>Opening</x:v>
      </x:c>
      <x:c r="T47" s="3" t="str">
        <x:v>indexed_text</x:v>
      </x:c>
      <x:c r="U47" s="4" t="d">
        <x:v>2026-10-22T00:00:00.000Z</x:v>
      </x:c>
      <x:c r="V47" s="9" t="str">
        <x:v>https://www.nba.com/wizards/rui-hachimura-summer-league-japan-draft-2019</x:v>
      </x:c>
      <x:c r="W47" s="3" t="str">
        <x:v>provisional</x:v>
      </x:c>
      <x:c r="X47" s="3" t="str"/>
      <x:c r="Y47" s="3" t="str"/>
    </x:row>
    <x:row r="48" ht="54" customHeight="1">
      <x:c r="A48" s="3" t="str">
        <x:v>NBA022</x:v>
      </x:c>
      <x:c r="B48" s="3" t="str">
        <x:v>nba_global</x:v>
      </x:c>
      <x:c r="C48" s="3" t="str">
        <x:v>basketball</x:v>
      </x:c>
      <x:c r="D48" s="3" t="str">
        <x:v>Wizards cultivate Japanese audiences</x:v>
      </x:c>
      <x:c r="E48" s="4" t="d">
        <x:v>2019-10-15T00:00:00.000Z</x:v>
      </x:c>
      <x:c r="F48" s="3" t="str">
        <x:v>published</x:v>
      </x:c>
      <x:c r="G48" s="3" t="str">
        <x:v>The Washington Post</x:v>
      </x:c>
      <x:c r="H48" s="3" t="str">
        <x:v>The Washington Post</x:v>
      </x:c>
      <x:c r="I48" s="3" t="str">
        <x:v>independent</x:v>
      </x:c>
      <x:c r="J48" s="3" t="str">
        <x:v>Rui Hachimura</x:v>
      </x:c>
      <x:c r="K48" s="3" t="str">
        <x:v>English</x:v>
      </x:c>
      <x:c r="L48" s="3" t="str">
        <x:v>Describes efforts to reach Japanese fans through Hachimura.</x:v>
      </x:c>
      <x:c r="M48" s="3" t="str">
        <x:v>unclear</x:v>
      </x:c>
      <x:c r="N48" s="3" t="str">
        <x:v>yes</x:v>
      </x:c>
      <x:c r="O48" s="3" t="str">
        <x:v>yes</x:v>
      </x:c>
      <x:c r="P48" s="3" t="str">
        <x:v>unclear</x:v>
      </x:c>
      <x:c r="Q48" s="3" t="str">
        <x:v>not_established</x:v>
      </x:c>
      <x:c r="R48" s="3" t="str">
        <x:v>article_excerpt</x:v>
      </x:c>
      <x:c r="S48" s="3" t="str">
        <x:v>Japan audience strategy and marketing discussion</x:v>
      </x:c>
      <x:c r="T48" s="3" t="str">
        <x:v>original_page</x:v>
      </x:c>
      <x:c r="U48" s="4" t="d">
        <x:v>2026-10-22T00:00:00.000Z</x:v>
      </x:c>
      <x:c r="V48" s="9" t="str">
        <x:v>https://www.washingtonpost.com/sports/2019/10/15/with-rui-hachimura-first-nba-draft-pick-japan-wizards-make-big-play-new-audience/</x:v>
      </x:c>
      <x:c r="W48" s="3" t="str">
        <x:v>provisional</x:v>
      </x:c>
      <x:c r="X48" s="3" t="str"/>
      <x:c r="Y48" s="3" t="str"/>
    </x:row>
    <x:row r="49" ht="54" customHeight="1">
      <x:c r="A49" s="3" t="str">
        <x:v>NBA023</x:v>
      </x:c>
      <x:c r="B49" s="3" t="str">
        <x:v>nba_global</x:v>
      </x:c>
      <x:c r="C49" s="3" t="str">
        <x:v>basketball</x:v>
      </x:c>
      <x:c r="D49" s="3" t="str">
        <x:v>Wizards Japanese-language account</x:v>
      </x:c>
      <x:c r="E49" s="4" t="d">
        <x:v>2020-09-30T00:00:00.000Z</x:v>
      </x:c>
      <x:c r="F49" s="3" t="str">
        <x:v>published</x:v>
      </x:c>
      <x:c r="G49" s="3" t="str">
        <x:v>Washington Wizards</x:v>
      </x:c>
      <x:c r="H49" s="3" t="str">
        <x:v>Washington Wizards</x:v>
      </x:c>
      <x:c r="I49" s="3" t="str">
        <x:v>institutional</x:v>
      </x:c>
      <x:c r="J49" s="3" t="str">
        <x:v>Rui Hachimura</x:v>
      </x:c>
      <x:c r="K49" s="3" t="str">
        <x:v>English</x:v>
      </x:c>
      <x:c r="L49" s="3" t="str">
        <x:v>Links Japanese-language content with interest following Hachimura's draft.</x:v>
      </x:c>
      <x:c r="M49" s="3" t="str">
        <x:v>unclear</x:v>
      </x:c>
      <x:c r="N49" s="3" t="str">
        <x:v>yes</x:v>
      </x:c>
      <x:c r="O49" s="3" t="str">
        <x:v>yes</x:v>
      </x:c>
      <x:c r="P49" s="3" t="str">
        <x:v>unclear</x:v>
      </x:c>
      <x:c r="Q49" s="3" t="str">
        <x:v>not_established</x:v>
      </x:c>
      <x:c r="R49" s="3" t="str">
        <x:v>article_excerpt</x:v>
      </x:c>
      <x:c r="S49" s="3" t="str">
        <x:v>Japanese account anniversary discussion</x:v>
      </x:c>
      <x:c r="T49" s="3" t="str">
        <x:v>indexed_text</x:v>
      </x:c>
      <x:c r="U49" s="4" t="d">
        <x:v>2026-10-22T00:00:00.000Z</x:v>
      </x:c>
      <x:c r="V49" s="9" t="str">
        <x:v>https://www.nba.com/wizards/japanese-content-one-year-launch</x:v>
      </x:c>
      <x:c r="W49" s="3" t="str">
        <x:v>provisional</x:v>
      </x:c>
      <x:c r="X49" s="3" t="str"/>
      <x:c r="Y49" s="3" t="str"/>
    </x:row>
    <x:row r="50" ht="54" customHeight="1">
      <x:c r="A50" s="3" t="str">
        <x:v>NBA024</x:v>
      </x:c>
      <x:c r="B50" s="3" t="str">
        <x:v>nba_global</x:v>
      </x:c>
      <x:c r="C50" s="3" t="str">
        <x:v>basketball</x:v>
      </x:c>
      <x:c r="D50" s="3" t="str">
        <x:v>International NBA roster framing 2024</x:v>
      </x:c>
      <x:c r="E50" s="4" t="d">
        <x:v>2024-10-22T00:00:00.000Z</x:v>
      </x:c>
      <x:c r="F50" s="3" t="str">
        <x:v>published</x:v>
      </x:c>
      <x:c r="G50" s="3" t="str">
        <x:v>NBA.com</x:v>
      </x:c>
      <x:c r="H50" s="3" t="str">
        <x:v>NBA</x:v>
      </x:c>
      <x:c r="I50" s="3" t="str">
        <x:v>institutional</x:v>
      </x:c>
      <x:c r="J50" s="3" t="str">
        <x:v>International NBA players</x:v>
      </x:c>
      <x:c r="K50" s="3" t="str">
        <x:v>English</x:v>
      </x:c>
      <x:c r="L50" s="3" t="str">
        <x:v>League release links international rosters with worldwide broadcast distribution.</x:v>
      </x:c>
      <x:c r="M50" s="3" t="str">
        <x:v>unclear</x:v>
      </x:c>
      <x:c r="N50" s="3" t="str">
        <x:v>yes</x:v>
      </x:c>
      <x:c r="O50" s="3" t="str">
        <x:v>yes</x:v>
      </x:c>
      <x:c r="P50" s="3" t="str">
        <x:v>unclear</x:v>
      </x:c>
      <x:c r="Q50" s="3" t="str">
        <x:v>not_established</x:v>
      </x:c>
      <x:c r="R50" s="3" t="str">
        <x:v>article_excerpt</x:v>
      </x:c>
      <x:c r="S50" s="3" t="str">
        <x:v>International-player announcement and broadcast discussion</x:v>
      </x:c>
      <x:c r="T50" s="3" t="str">
        <x:v>original_page</x:v>
      </x:c>
      <x:c r="U50" s="4" t="d">
        <x:v>2026-10-22T00:00:00.000Z</x:v>
      </x:c>
      <x:c r="V50" s="9" t="str">
        <x:v>https://www.nba.com/news/2024-25-international-players-opening-night-rosters-official-release</x:v>
      </x:c>
      <x:c r="W50" s="3" t="str">
        <x:v>provisional</x:v>
      </x:c>
      <x:c r="X50" s="3" t="str"/>
      <x:c r="Y50" s="3" t="str"/>
    </x:row>
    <x:row r="51" ht="54" customHeight="1">
      <x:c r="A51" s="3" t="str">
        <x:v>NBA025</x:v>
      </x:c>
      <x:c r="B51" s="3" t="str">
        <x:v>nba_global</x:v>
      </x:c>
      <x:c r="C51" s="3" t="str">
        <x:v>basketball</x:v>
      </x:c>
      <x:c r="D51" s="3" t="str">
        <x:v>International NBA roster framing 2025</x:v>
      </x:c>
      <x:c r="E51" s="4" t="d">
        <x:v>2025-10-22T00:00:00.000Z</x:v>
      </x:c>
      <x:c r="F51" s="3" t="str">
        <x:v>updated</x:v>
      </x:c>
      <x:c r="G51" s="3" t="str">
        <x:v>NBA.com</x:v>
      </x:c>
      <x:c r="H51" s="3" t="str">
        <x:v>NBA</x:v>
      </x:c>
      <x:c r="I51" s="3" t="str">
        <x:v>institutional</x:v>
      </x:c>
      <x:c r="J51" s="3" t="str">
        <x:v>International NBA players</x:v>
      </x:c>
      <x:c r="K51" s="3" t="str">
        <x:v>English</x:v>
      </x:c>
      <x:c r="L51" s="3" t="str">
        <x:v>Uses country labels alongside additional national ties.</x:v>
      </x:c>
      <x:c r="M51" s="3" t="str">
        <x:v>unclear</x:v>
      </x:c>
      <x:c r="N51" s="3" t="str">
        <x:v>yes</x:v>
      </x:c>
      <x:c r="O51" s="3" t="str">
        <x:v>unclear</x:v>
      </x:c>
      <x:c r="P51" s="3" t="str">
        <x:v>unclear</x:v>
      </x:c>
      <x:c r="Q51" s="3" t="str">
        <x:v>not_established</x:v>
      </x:c>
      <x:c r="R51" s="3" t="str">
        <x:v>article_excerpt</x:v>
      </x:c>
      <x:c r="S51" s="3" t="str">
        <x:v>Country classification</x:v>
      </x:c>
      <x:c r="T51" s="3" t="str">
        <x:v>original_page</x:v>
      </x:c>
      <x:c r="U51" s="4" t="d">
        <x:v>2026-10-22T00:00:00.000Z</x:v>
      </x:c>
      <x:c r="V51" s="9" t="str">
        <x:v>https://www.nba.com/news/2025-26-international-players-opening-night</x:v>
      </x:c>
      <x:c r="W51" s="3" t="str">
        <x:v>provisional</x:v>
      </x:c>
      <x:c r="X51" s="3" t="str"/>
      <x:c r="Y51" s="3" t="str">
        <x:v>Page displays an updated date; first publication date was not established.</x:v>
      </x:c>
    </x:row>
    <x:row r="52" ht="54" customHeight="1">
      <x:c r="A52" s="3" t="str">
        <x:v>F1001</x:v>
      </x:c>
      <x:c r="B52" s="3" t="str">
        <x:v>f1_allegiance</x:v>
      </x:c>
      <x:c r="C52" s="3" t="str">
        <x:v>formula_1</x:v>
      </x:c>
      <x:c r="D52" s="3" t="str">
        <x:v>Hamilton Ferrari move and Italian reactions</x:v>
      </x:c>
      <x:c r="E52" s="4" t="d">
        <x:v>2024-02-13T00:00:00.000Z</x:v>
      </x:c>
      <x:c r="F52" s="3" t="str">
        <x:v>published</x:v>
      </x:c>
      <x:c r="G52" s="3" t="str">
        <x:v>Sky Sports</x:v>
      </x:c>
      <x:c r="H52" s="3" t="str">
        <x:v>Sky Sports</x:v>
      </x:c>
      <x:c r="I52" s="3" t="str">
        <x:v>independent</x:v>
      </x:c>
      <x:c r="J52" s="3" t="str">
        <x:v>Lewis Hamilton</x:v>
      </x:c>
      <x:c r="K52" s="3" t="str">
        <x:v>English</x:v>
      </x:c>
      <x:c r="L52" s="3" t="str">
        <x:v>Frames Ferrari as an Italian national symbol and discusses reception of an incoming driver.</x:v>
      </x:c>
      <x:c r="M52" s="3" t="str">
        <x:v>no</x:v>
      </x:c>
      <x:c r="N52" s="3" t="str">
        <x:v>yes</x:v>
      </x:c>
      <x:c r="O52" s="3" t="str">
        <x:v>yes</x:v>
      </x:c>
      <x:c r="P52" s="3" t="str">
        <x:v>unclear</x:v>
      </x:c>
      <x:c r="Q52" s="3" t="str">
        <x:v>not_established</x:v>
      </x:c>
      <x:c r="R52" s="3" t="str">
        <x:v>article_body</x:v>
      </x:c>
      <x:c r="S52" s="3" t="str">
        <x:v>Opening framing and interview with Roberto Chinchero</x:v>
      </x:c>
      <x:c r="T52" s="3" t="str">
        <x:v>original_page</x:v>
      </x:c>
      <x:c r="U52" s="4" t="d">
        <x:v>2026-10-22T00:00:00.000Z</x:v>
      </x:c>
      <x:c r="V52" s="9" t="str">
        <x:v>https://www.skysports.com/f1/news/12433/13070029/surprise-respect-2021-impact-italy-8217-s-view-on-hamilton-to-ferrari</x:v>
      </x:c>
      <x:c r="W52" s="3" t="str">
        <x:v>provisional</x:v>
      </x:c>
      <x:c r="X52" s="3" t="str"/>
      <x:c r="Y52" s="3" t="str"/>
    </x:row>
    <x:row r="53" ht="54" customHeight="1">
      <x:c r="A53" s="3" t="str">
        <x:v>F1002</x:v>
      </x:c>
      <x:c r="B53" s="3" t="str">
        <x:v>f1_allegiance</x:v>
      </x:c>
      <x:c r="C53" s="3" t="str">
        <x:v>formula_1</x:v>
      </x:c>
      <x:c r="D53" s="3" t="str">
        <x:v>Hamilton on Italian fans at Monza</x:v>
      </x:c>
      <x:c r="E53" s="4" t="d">
        <x:v>2017-09-03T00:00:00.000Z</x:v>
      </x:c>
      <x:c r="F53" s="3" t="str">
        <x:v>published</x:v>
      </x:c>
      <x:c r="G53" s="3" t="str">
        <x:v>FIA</x:v>
      </x:c>
      <x:c r="H53" s="3" t="str">
        <x:v>FIA</x:v>
      </x:c>
      <x:c r="I53" s="3" t="str">
        <x:v>institutional</x:v>
      </x:c>
      <x:c r="J53" s="3" t="str">
        <x:v>Lewis Hamilton</x:v>
      </x:c>
      <x:c r="K53" s="3" t="str">
        <x:v>English</x:v>
      </x:c>
      <x:c r="L53" s="3" t="str">
        <x:v>Hamilton describes Italian Ferrari fans also supporting Mercedes; this is an athlete's account rather than a fan survey.</x:v>
      </x:c>
      <x:c r="M53" s="3" t="str">
        <x:v>no</x:v>
      </x:c>
      <x:c r="N53" s="3" t="str">
        <x:v>yes</x:v>
      </x:c>
      <x:c r="O53" s="3" t="str">
        <x:v>yes</x:v>
      </x:c>
      <x:c r="P53" s="3" t="str">
        <x:v>yes</x:v>
      </x:c>
      <x:c r="Q53" s="3" t="str">
        <x:v>not_established</x:v>
      </x:c>
      <x:c r="R53" s="3" t="str">
        <x:v>transcript_section</x:v>
      </x:c>
      <x:c r="S53" s="3" t="str">
        <x:v>Hamilton answer discussing Ferrari supporters also supporting Mercedes</x:v>
      </x:c>
      <x:c r="T53" s="3" t="str">
        <x:v>original_page</x:v>
      </x:c>
      <x:c r="U53" s="4" t="d">
        <x:v>2026-10-22T00:00:00.000Z</x:v>
      </x:c>
      <x:c r="V53" s="9" t="str">
        <x:v>https://api.fia.com/news/f1-lewis-hamilton-i-iove-it-here-italy-and-i-love-passion-fans</x:v>
      </x:c>
      <x:c r="W53" s="3" t="str">
        <x:v>provisional</x:v>
      </x:c>
      <x:c r="X53" s="3" t="str"/>
      <x:c r="Y53" s="3" t="str"/>
    </x:row>
    <x:row r="54" ht="54" customHeight="1">
      <x:c r="A54" s="3" t="str">
        <x:v>F1003</x:v>
      </x:c>
      <x:c r="B54" s="3" t="str">
        <x:v>f1_allegiance</x:v>
      </x:c>
      <x:c r="C54" s="3" t="str">
        <x:v>formula_1</x:v>
      </x:c>
      <x:c r="D54" s="3" t="str">
        <x:v>Hamilton welcomed by tifosi</x:v>
      </x:c>
      <x:c r="E54" s="4" t="d">
        <x:v>2025-03-06T00:00:00.000Z</x:v>
      </x:c>
      <x:c r="F54" s="3" t="str">
        <x:v>published</x:v>
      </x:c>
      <x:c r="G54" s="3" t="str">
        <x:v>ESPN</x:v>
      </x:c>
      <x:c r="H54" s="3" t="str">
        <x:v>Reuters</x:v>
      </x:c>
      <x:c r="I54" s="3" t="str">
        <x:v>independent</x:v>
      </x:c>
      <x:c r="J54" s="3" t="str">
        <x:v>Lewis Hamilton</x:v>
      </x:c>
      <x:c r="K54" s="3" t="str">
        <x:v>English</x:v>
      </x:c>
      <x:c r="L54" s="3" t="str">
        <x:v>Reports Italian supporters welcoming Hamilton to Ferrari.</x:v>
      </x:c>
      <x:c r="M54" s="3" t="str">
        <x:v>unclear</x:v>
      </x:c>
      <x:c r="N54" s="3" t="str">
        <x:v>yes</x:v>
      </x:c>
      <x:c r="O54" s="3" t="str">
        <x:v>yes</x:v>
      </x:c>
      <x:c r="P54" s="3" t="str">
        <x:v>unclear</x:v>
      </x:c>
      <x:c r="Q54" s="3" t="str">
        <x:v>not_established</x:v>
      </x:c>
      <x:c r="R54" s="3" t="str">
        <x:v>article_excerpt</x:v>
      </x:c>
      <x:c r="S54" s="3" t="str">
        <x:v>Milan fan event and Italian language comments</x:v>
      </x:c>
      <x:c r="T54" s="3" t="str">
        <x:v>indexed_text</x:v>
      </x:c>
      <x:c r="U54" s="4" t="d">
        <x:v>2026-10-22T00:00:00.000Z</x:v>
      </x:c>
      <x:c r="V54" s="9" t="str">
        <x:v>https://www.espn.com/f1/story/_/id/44140861/lewis-hamilton-charles-leclerc-welcomed-ferrari-tifosi-milan</x:v>
      </x:c>
      <x:c r="W54" s="3" t="str">
        <x:v>provisional</x:v>
      </x:c>
      <x:c r="X54" s="3" t="str"/>
      <x:c r="Y54" s="3" t="str"/>
    </x:row>
    <x:row r="55" ht="54" customHeight="1">
      <x:c r="A55" s="3" t="str">
        <x:v>F1004</x:v>
      </x:c>
      <x:c r="B55" s="3" t="str">
        <x:v>f1_allegiance</x:v>
      </x:c>
      <x:c r="C55" s="3" t="str">
        <x:v>formula_1</x:v>
      </x:c>
      <x:c r="D55" s="3" t="str">
        <x:v>Hamilton reception in Italian media</x:v>
      </x:c>
      <x:c r="E55" s="4" t="d">
        <x:v>2025-02-23T00:00:00.000Z</x:v>
      </x:c>
      <x:c r="F55" s="3" t="str">
        <x:v>published</x:v>
      </x:c>
      <x:c r="G55" s="3" t="str">
        <x:v>Autosport</x:v>
      </x:c>
      <x:c r="H55" s="3" t="str">
        <x:v>Motorsport.com Italy contributors</x:v>
      </x:c>
      <x:c r="I55" s="3" t="str">
        <x:v>independent</x:v>
      </x:c>
      <x:c r="J55" s="3" t="str">
        <x:v>Lewis Hamilton</x:v>
      </x:c>
      <x:c r="K55" s="3" t="str">
        <x:v>English</x:v>
      </x:c>
      <x:c r="L55" s="3" t="str">
        <x:v>Discusses how Italian journalists and fans receive a British driver at Ferrari.</x:v>
      </x:c>
      <x:c r="M55" s="3" t="str">
        <x:v>unclear</x:v>
      </x:c>
      <x:c r="N55" s="3" t="str">
        <x:v>yes</x:v>
      </x:c>
      <x:c r="O55" s="3" t="str">
        <x:v>yes</x:v>
      </x:c>
      <x:c r="P55" s="3" t="str">
        <x:v>unclear</x:v>
      </x:c>
      <x:c r="Q55" s="3" t="str">
        <x:v>not_established</x:v>
      </x:c>
      <x:c r="R55" s="3" t="str">
        <x:v>article_excerpt</x:v>
      </x:c>
      <x:c r="S55" s="3" t="str">
        <x:v>Opening national icon framing and contributors' reactions</x:v>
      </x:c>
      <x:c r="T55" s="3" t="str">
        <x:v>original_page</x:v>
      </x:c>
      <x:c r="U55" s="4" t="d">
        <x:v>2026-10-22T00:00:00.000Z</x:v>
      </x:c>
      <x:c r="V55" s="9" t="str">
        <x:v>https://www.autosport.com/f1/news/hamiltons-start-at-ferrari-seen-from-italy-how-did-fans-and-media-react/10697616/</x:v>
      </x:c>
      <x:c r="W55" s="3" t="str">
        <x:v>provisional</x:v>
      </x:c>
      <x:c r="X55" s="3" t="str"/>
      <x:c r="Y55" s="3" t="str"/>
    </x:row>
    <x:row r="56" ht="54" customHeight="1">
      <x:c r="A56" s="3" t="str">
        <x:v>F1005</x:v>
      </x:c>
      <x:c r="B56" s="3" t="str">
        <x:v>f1_allegiance</x:v>
      </x:c>
      <x:c r="C56" s="3" t="str">
        <x:v>formula_1</x:v>
      </x:c>
      <x:c r="D56" s="3" t="str">
        <x:v>Hamilton energised by tifosi</x:v>
      </x:c>
      <x:c r="E56" s="4" t="d">
        <x:v>2025-09-08T00:00:00.000Z</x:v>
      </x:c>
      <x:c r="F56" s="3" t="str">
        <x:v>published</x:v>
      </x:c>
      <x:c r="G56" s="3" t="str">
        <x:v>Formula1.com</x:v>
      </x:c>
      <x:c r="H56" s="3" t="str">
        <x:v>Formula 1</x:v>
      </x:c>
      <x:c r="I56" s="3" t="str">
        <x:v>institutional</x:v>
      </x:c>
      <x:c r="J56" s="3" t="str">
        <x:v>Lewis Hamilton</x:v>
      </x:c>
      <x:c r="K56" s="3" t="str">
        <x:v>English</x:v>
      </x:c>
      <x:c r="L56" s="3" t="str">
        <x:v>Team principal attributes energy during Hamilton's first Ferrari Monza weekend to supporters.</x:v>
      </x:c>
      <x:c r="M56" s="3" t="str">
        <x:v>unclear</x:v>
      </x:c>
      <x:c r="N56" s="3" t="str">
        <x:v>yes</x:v>
      </x:c>
      <x:c r="O56" s="3" t="str">
        <x:v>yes</x:v>
      </x:c>
      <x:c r="P56" s="3" t="str">
        <x:v>unclear</x:v>
      </x:c>
      <x:c r="Q56" s="3" t="str">
        <x:v>not_established</x:v>
      </x:c>
      <x:c r="R56" s="3" t="str">
        <x:v>article_excerpt</x:v>
      </x:c>
      <x:c r="S56" s="3" t="str">
        <x:v>Vasseur comments about Italian Grand Prix support</x:v>
      </x:c>
      <x:c r="T56" s="3" t="str">
        <x:v>original_page</x:v>
      </x:c>
      <x:c r="U56" s="4" t="d">
        <x:v>2026-10-22T00:00:00.000Z</x:v>
      </x:c>
      <x:c r="V56" s="9" t="str">
        <x:v>https://www.formula1.com/en/latest/article/vasseur-credits-very-special-tifosi-for-energising-hamilton-across-italian.q09Lpi5enD60VKXKJujrU</x:v>
      </x:c>
      <x:c r="W56" s="3" t="str">
        <x:v>provisional</x:v>
      </x:c>
      <x:c r="X56" s="3" t="str"/>
      <x:c r="Y56" s="3" t="str"/>
    </x:row>
    <x:row r="57" ht="54" customHeight="1">
      <x:c r="A57" s="3" t="str">
        <x:v>F1006</x:v>
      </x:c>
      <x:c r="B57" s="3" t="str">
        <x:v>f1_allegiance</x:v>
      </x:c>
      <x:c r="C57" s="3" t="str">
        <x:v>formula_1</x:v>
      </x:c>
      <x:c r="D57" s="3" t="str">
        <x:v>Hamilton arrival and Italian reactions</x:v>
      </x:c>
      <x:c r="E57" s="4" t="d">
        <x:v>2025-01-21T00:00:00.000Z</x:v>
      </x:c>
      <x:c r="F57" s="3" t="str">
        <x:v>published</x:v>
      </x:c>
      <x:c r="G57" s="3" t="str">
        <x:v>Motor Sport Magazine</x:v>
      </x:c>
      <x:c r="H57" s="3" t="str">
        <x:v>Motor Sport Magazine</x:v>
      </x:c>
      <x:c r="I57" s="3" t="str">
        <x:v>independent</x:v>
      </x:c>
      <x:c r="J57" s="3" t="str">
        <x:v>Lewis Hamilton</x:v>
      </x:c>
      <x:c r="K57" s="3" t="str">
        <x:v>English</x:v>
      </x:c>
      <x:c r="L57" s="3" t="str">
        <x:v>Analyzes Italian media responses to Hamilton's first Ferrari factory appearance.</x:v>
      </x:c>
      <x:c r="M57" s="3" t="str">
        <x:v>unclear</x:v>
      </x:c>
      <x:c r="N57" s="3" t="str">
        <x:v>yes</x:v>
      </x:c>
      <x:c r="O57" s="3" t="str">
        <x:v>yes</x:v>
      </x:c>
      <x:c r="P57" s="3" t="str">
        <x:v>unclear</x:v>
      </x:c>
      <x:c r="Q57" s="3" t="str">
        <x:v>not_established</x:v>
      </x:c>
      <x:c r="R57" s="3" t="str">
        <x:v>article_excerpt</x:v>
      </x:c>
      <x:c r="S57" s="3" t="str">
        <x:v>Italian press headlines and language discussion</x:v>
      </x:c>
      <x:c r="T57" s="3" t="str">
        <x:v>original_page</x:v>
      </x:c>
      <x:c r="U57" s="4" t="d">
        <x:v>2026-10-22T00:00:00.000Z</x:v>
      </x:c>
      <x:c r="V57" s="9" t="str">
        <x:v>https://www.motorsportmagazine.com/articles/single-seaters/f1/maranello-mania-how-italy-reacted-to-hamiltons-first-ferrari-day/</x:v>
      </x:c>
      <x:c r="W57" s="3" t="str">
        <x:v>provisional</x:v>
      </x:c>
      <x:c r="X57" s="3" t="str"/>
      <x:c r="Y57" s="3" t="str"/>
    </x:row>
    <x:row r="58" ht="54" customHeight="1">
      <x:c r="A58" s="3" t="str">
        <x:v>F1007</x:v>
      </x:c>
      <x:c r="B58" s="3" t="str">
        <x:v>f1_allegiance</x:v>
      </x:c>
      <x:c r="C58" s="3" t="str">
        <x:v>formula_1</x:v>
      </x:c>
      <x:c r="D58" s="3" t="str">
        <x:v>Antonelli challenges Ferrari loyalties</x:v>
      </x:c>
      <x:c r="E58" s="4" t="d">
        <x:v>2026-09-05T00:00:00.000Z</x:v>
      </x:c>
      <x:c r="F58" s="3" t="str">
        <x:v>published</x:v>
      </x:c>
      <x:c r="G58" s="3" t="str">
        <x:v>Yahoo Sports</x:v>
      </x:c>
      <x:c r="H58" s="3" t="str">
        <x:v>BBC Sport</x:v>
      </x:c>
      <x:c r="I58" s="3" t="str">
        <x:v>independent</x:v>
      </x:c>
      <x:c r="J58" s="3" t="str">
        <x:v>Kimi Antonelli</x:v>
      </x:c>
      <x:c r="K58" s="3" t="str">
        <x:v>English</x:v>
      </x:c>
      <x:c r="L58" s="3" t="str">
        <x:v>Interviews describe divided attachments between an Italian Mercedes driver and Ferrari.</x:v>
      </x:c>
      <x:c r="M58" s="3" t="str">
        <x:v>unclear</x:v>
      </x:c>
      <x:c r="N58" s="3" t="str">
        <x:v>yes</x:v>
      </x:c>
      <x:c r="O58" s="3" t="str">
        <x:v>yes</x:v>
      </x:c>
      <x:c r="P58" s="3" t="str">
        <x:v>yes</x:v>
      </x:c>
      <x:c r="Q58" s="3" t="str">
        <x:v>not_established</x:v>
      </x:c>
      <x:c r="R58" s="3" t="str">
        <x:v>article_excerpt</x:v>
      </x:c>
      <x:c r="S58" s="3" t="str">
        <x:v>Italian supporter interviews and fandom discussion</x:v>
      </x:c>
      <x:c r="T58" s="3" t="str">
        <x:v>indexed_text</x:v>
      </x:c>
      <x:c r="U58" s="4" t="d">
        <x:v>2026-10-22T00:00:00.000Z</x:v>
      </x:c>
      <x:c r="V58" s="9" t="str">
        <x:v>https://ca.sports.yahoo.com/news/disruptor-antonelli-winning-hearts-italy-063228675.html</x:v>
      </x:c>
      <x:c r="W58" s="3" t="str">
        <x:v>provisional</x:v>
      </x:c>
      <x:c r="X58" s="3" t="str"/>
      <x:c r="Y58" s="3" t="str"/>
    </x:row>
    <x:row r="59" ht="54" customHeight="1">
      <x:c r="A59" s="3" t="str">
        <x:v>F1008</x:v>
      </x:c>
      <x:c r="B59" s="3" t="str">
        <x:v>f1_allegiance</x:v>
      </x:c>
      <x:c r="C59" s="3" t="str">
        <x:v>formula_1</x:v>
      </x:c>
      <x:c r="D59" s="3" t="str">
        <x:v>Steiner on Antonelli support</x:v>
      </x:c>
      <x:c r="E59" s="4" t="d">
        <x:v>2026-07-24T00:00:00.000Z</x:v>
      </x:c>
      <x:c r="F59" s="3" t="str">
        <x:v>edited</x:v>
      </x:c>
      <x:c r="G59" s="3" t="str">
        <x:v>Motorsport.com</x:v>
      </x:c>
      <x:c r="H59" s="3" t="str">
        <x:v>Motorsport.com</x:v>
      </x:c>
      <x:c r="I59" s="3" t="str">
        <x:v>independent</x:v>
      </x:c>
      <x:c r="J59" s="3" t="str">
        <x:v>Kimi Antonelli</x:v>
      </x:c>
      <x:c r="K59" s="3" t="str">
        <x:v>English</x:v>
      </x:c>
      <x:c r="L59" s="3" t="str">
        <x:v>Steiner argues that Italy's Ferrari attachment limits recognition for Antonelli.</x:v>
      </x:c>
      <x:c r="M59" s="3" t="str">
        <x:v>unclear</x:v>
      </x:c>
      <x:c r="N59" s="3" t="str">
        <x:v>yes</x:v>
      </x:c>
      <x:c r="O59" s="3" t="str">
        <x:v>yes</x:v>
      </x:c>
      <x:c r="P59" s="3" t="str">
        <x:v>yes</x:v>
      </x:c>
      <x:c r="Q59" s="3" t="str">
        <x:v>not_established</x:v>
      </x:c>
      <x:c r="R59" s="3" t="str">
        <x:v>article_excerpt</x:v>
      </x:c>
      <x:c r="S59" s="3" t="str">
        <x:v>Steiner comments following Spa</x:v>
      </x:c>
      <x:c r="T59" s="3" t="str">
        <x:v>original_page</x:v>
      </x:c>
      <x:c r="U59" s="4" t="d">
        <x:v>2026-10-22T00:00:00.000Z</x:v>
      </x:c>
      <x:c r="V59" s="9" t="str">
        <x:v>https://au.motorsport.com/f1/news/guenther-steiner-ferrari-focus-is-limiting-kimi-antonellis-italian-support/10841223/</x:v>
      </x:c>
      <x:c r="W59" s="3" t="str">
        <x:v>provisional</x:v>
      </x:c>
      <x:c r="X59" s="3" t="str"/>
      <x:c r="Y59" s="3" t="str">
        <x:v>Page displays an edited date; first publication date was not established.</x:v>
      </x:c>
    </x:row>
    <x:row r="60" ht="54" customHeight="1">
      <x:c r="A60" s="3" t="str">
        <x:v>F1009</x:v>
      </x:c>
      <x:c r="B60" s="3" t="str">
        <x:v>f1_allegiance</x:v>
      </x:c>
      <x:c r="C60" s="3" t="str">
        <x:v>formula_1</x:v>
      </x:c>
      <x:c r="D60" s="3" t="str">
        <x:v>Antonelli reflects on Monza</x:v>
      </x:c>
      <x:c r="E60" s="4"/>
      <x:c r="F60" s="3" t="str">
        <x:v>not_displayed</x:v>
      </x:c>
      <x:c r="G60" s="3" t="str">
        <x:v>Mercedes-AMG PETRONAS F1 Team</x:v>
      </x:c>
      <x:c r="H60" s="3" t="str">
        <x:v>Mercedes-AMG PETRONAS F1 Team</x:v>
      </x:c>
      <x:c r="I60" s="3" t="str">
        <x:v>institutional</x:v>
      </x:c>
      <x:c r="J60" s="3" t="str">
        <x:v>Kimi Antonelli</x:v>
      </x:c>
      <x:c r="K60" s="3" t="str">
        <x:v>English</x:v>
      </x:c>
      <x:c r="L60" s="3" t="str">
        <x:v>Describes home-crowd emotion and lessons learned during his Mercedes practice debut.</x:v>
      </x:c>
      <x:c r="M60" s="3" t="str">
        <x:v>yes</x:v>
      </x:c>
      <x:c r="N60" s="3" t="str">
        <x:v>yes</x:v>
      </x:c>
      <x:c r="O60" s="3" t="str">
        <x:v>yes</x:v>
      </x:c>
      <x:c r="P60" s="3" t="str">
        <x:v>unclear</x:v>
      </x:c>
      <x:c r="Q60" s="3" t="str">
        <x:v>not_established</x:v>
      </x:c>
      <x:c r="R60" s="3" t="str">
        <x:v>article_excerpt</x:v>
      </x:c>
      <x:c r="S60" s="3" t="str">
        <x:v>Monza reflection and support from the team</x:v>
      </x:c>
      <x:c r="T60" s="3" t="str">
        <x:v>original_page</x:v>
      </x:c>
      <x:c r="U60" s="4" t="d">
        <x:v>2026-10-22T00:00:00.000Z</x:v>
      </x:c>
      <x:c r="V60" s="9" t="str">
        <x:v>https://www.mercedesamgf1.com/news/catching-up-with-kimi-monza-team-talks-and-2025</x:v>
      </x:c>
      <x:c r="W60" s="3" t="str">
        <x:v>provisional</x:v>
      </x:c>
      <x:c r="X60" s="3" t="str"/>
      <x:c r="Y60" s="3" t="str">
        <x:v>No date displayed in inspected text; the account discusses the announced 2025 Mercedes appointment.</x:v>
      </x:c>
    </x:row>
    <x:row r="61" ht="54" customHeight="1">
      <x:c r="A61" s="3" t="str">
        <x:v>F1010</x:v>
      </x:c>
      <x:c r="B61" s="3" t="str">
        <x:v>f1_allegiance</x:v>
      </x:c>
      <x:c r="C61" s="3" t="str">
        <x:v>formula_1</x:v>
      </x:c>
      <x:c r="D61" s="3" t="str">
        <x:v>Antonelli prepares for home crowd</x:v>
      </x:c>
      <x:c r="E61" s="4" t="d">
        <x:v>2025-09-04T00:00:00.000Z</x:v>
      </x:c>
      <x:c r="F61" s="3" t="str">
        <x:v>published</x:v>
      </x:c>
      <x:c r="G61" s="3" t="str">
        <x:v>Formula1.com</x:v>
      </x:c>
      <x:c r="H61" s="3" t="str">
        <x:v>Formula 1</x:v>
      </x:c>
      <x:c r="I61" s="3" t="str">
        <x:v>institutional</x:v>
      </x:c>
      <x:c r="J61" s="3" t="str">
        <x:v>Kimi Antonelli</x:v>
      </x:c>
      <x:c r="K61" s="3" t="str">
        <x:v>English</x:v>
      </x:c>
      <x:c r="L61" s="3" t="str">
        <x:v>Describes managing demands and expectations at Italian home races.</x:v>
      </x:c>
      <x:c r="M61" s="3" t="str">
        <x:v>yes</x:v>
      </x:c>
      <x:c r="N61" s="3" t="str">
        <x:v>yes</x:v>
      </x:c>
      <x:c r="O61" s="3" t="str">
        <x:v>yes</x:v>
      </x:c>
      <x:c r="P61" s="3" t="str">
        <x:v>unclear</x:v>
      </x:c>
      <x:c r="Q61" s="3" t="str">
        <x:v>not_established</x:v>
      </x:c>
      <x:c r="R61" s="3" t="str">
        <x:v>article_excerpt</x:v>
      </x:c>
      <x:c r="S61" s="3" t="str">
        <x:v>Comparison of Imola and Monza preparations</x:v>
      </x:c>
      <x:c r="T61" s="3" t="str">
        <x:v>original_page</x:v>
      </x:c>
      <x:c r="U61" s="4" t="d">
        <x:v>2026-10-22T00:00:00.000Z</x:v>
      </x:c>
      <x:c r="V61" s="9" t="str">
        <x:v>https://www.formula1.com/en/latest/article/antonelli-explains-how-he-will-approach-monza-differently-to-his-first-home.5kpETO8SmQWsUiN31AYoAG</x:v>
      </x:c>
      <x:c r="W61" s="3" t="str">
        <x:v>provisional</x:v>
      </x:c>
      <x:c r="X61" s="3" t="str"/>
      <x:c r="Y61" s="3" t="str"/>
    </x:row>
    <x:row r="62" ht="54" customHeight="1">
      <x:c r="A62" s="3" t="str">
        <x:v>F1011</x:v>
      </x:c>
      <x:c r="B62" s="3" t="str">
        <x:v>f1_allegiance</x:v>
      </x:c>
      <x:c r="C62" s="3" t="str">
        <x:v>formula_1</x:v>
      </x:c>
      <x:c r="D62" s="3" t="str">
        <x:v>Verstappen and Dutch fan culture</x:v>
      </x:c>
      <x:c r="E62" s="4" t="d">
        <x:v>2025-08-28T00:00:00.000Z</x:v>
      </x:c>
      <x:c r="F62" s="3" t="str">
        <x:v>published</x:v>
      </x:c>
      <x:c r="G62" s="3" t="str">
        <x:v>Formula1.com</x:v>
      </x:c>
      <x:c r="H62" s="3" t="str">
        <x:v>Formula 1</x:v>
      </x:c>
      <x:c r="I62" s="3" t="str">
        <x:v>institutional</x:v>
      </x:c>
      <x:c r="J62" s="3" t="str">
        <x:v>Max Verstappen</x:v>
      </x:c>
      <x:c r="K62" s="3" t="str">
        <x:v>English</x:v>
      </x:c>
      <x:c r="L62" s="3" t="str">
        <x:v>Presents Verstappen's success as reshaping Dutch fandom and traveling supporter culture.</x:v>
      </x:c>
      <x:c r="M62" s="3" t="str">
        <x:v>unclear</x:v>
      </x:c>
      <x:c r="N62" s="3" t="str">
        <x:v>yes</x:v>
      </x:c>
      <x:c r="O62" s="3" t="str">
        <x:v>yes</x:v>
      </x:c>
      <x:c r="P62" s="3" t="str">
        <x:v>unclear</x:v>
      </x:c>
      <x:c r="Q62" s="3" t="str">
        <x:v>not_established</x:v>
      </x:c>
      <x:c r="R62" s="3" t="str">
        <x:v>article_excerpt</x:v>
      </x:c>
      <x:c r="S62" s="3" t="str">
        <x:v>National passion and Orange Army discussion</x:v>
      </x:c>
      <x:c r="T62" s="3" t="str">
        <x:v>original_page</x:v>
      </x:c>
      <x:c r="U62" s="4" t="d">
        <x:v>2026-10-22T00:00:00.000Z</x:v>
      </x:c>
      <x:c r="V62" s="9" t="str">
        <x:v>https://www.formula1.com/en/latest/article/how-max-verstappen-captivated-and-transformed-f1-fan-culture-in-the.AFysFZC9m6zQY0T0mqUbo</x:v>
      </x:c>
      <x:c r="W62" s="3" t="str">
        <x:v>provisional</x:v>
      </x:c>
      <x:c r="X62" s="3" t="str"/>
      <x:c r="Y62" s="3" t="str"/>
    </x:row>
    <x:row r="63" ht="54" customHeight="1">
      <x:c r="A63" s="3" t="str">
        <x:v>F1012</x:v>
      </x:c>
      <x:c r="B63" s="3" t="str">
        <x:v>f1_allegiance</x:v>
      </x:c>
      <x:c r="C63" s="3" t="str">
        <x:v>formula_1</x:v>
      </x:c>
      <x:c r="D63" s="3" t="str">
        <x:v>Zandvoort orange supporter culture</x:v>
      </x:c>
      <x:c r="E63" s="4" t="d">
        <x:v>2021-09-05T00:00:00.000Z</x:v>
      </x:c>
      <x:c r="F63" s="3" t="str">
        <x:v>published</x:v>
      </x:c>
      <x:c r="G63" s="3" t="str">
        <x:v>BBC Sport</x:v>
      </x:c>
      <x:c r="H63" s="3" t="str">
        <x:v>BBC Sport</x:v>
      </x:c>
      <x:c r="I63" s="3" t="str">
        <x:v>independent</x:v>
      </x:c>
      <x:c r="J63" s="3" t="str">
        <x:v>Max Verstappen</x:v>
      </x:c>
      <x:c r="K63" s="3" t="str">
        <x:v>English</x:v>
      </x:c>
      <x:c r="L63" s="3" t="str">
        <x:v>Depicts Dutch national fandom through orange clothing.</x:v>
      </x:c>
      <x:c r="M63" s="3" t="str">
        <x:v>unclear</x:v>
      </x:c>
      <x:c r="N63" s="3" t="str">
        <x:v>yes</x:v>
      </x:c>
      <x:c r="O63" s="3" t="str">
        <x:v>yes</x:v>
      </x:c>
      <x:c r="P63" s="3" t="str">
        <x:v>unclear</x:v>
      </x:c>
      <x:c r="Q63" s="3" t="str">
        <x:v>not_established</x:v>
      </x:c>
      <x:c r="R63" s="3" t="str">
        <x:v>article_excerpt</x:v>
      </x:c>
      <x:c r="S63" s="3" t="str">
        <x:v>Introduction</x:v>
      </x:c>
      <x:c r="T63" s="3" t="str">
        <x:v>indexed_text</x:v>
      </x:c>
      <x:c r="U63" s="4" t="d">
        <x:v>2026-10-22T00:00:00.000Z</x:v>
      </x:c>
      <x:c r="V63" s="9" t="str">
        <x:v>https://www.bbc.co.uk/sport/formula1/58448824</x:v>
      </x:c>
      <x:c r="W63" s="3" t="str">
        <x:v>provisional</x:v>
      </x:c>
      <x:c r="X63" s="3" t="str"/>
      <x:c r="Y63" s="3" t="str"/>
    </x:row>
    <x:row r="64" ht="54" customHeight="1">
      <x:c r="A64" s="3" t="str">
        <x:v>F1013</x:v>
      </x:c>
      <x:c r="B64" s="3" t="str">
        <x:v>f1_allegiance</x:v>
      </x:c>
      <x:c r="C64" s="3" t="str">
        <x:v>formula_1</x:v>
      </x:c>
      <x:c r="D64" s="3" t="str">
        <x:v>Orange Army DJ</x:v>
      </x:c>
      <x:c r="E64" s="4" t="d">
        <x:v>2025-08-29T00:00:00.000Z</x:v>
      </x:c>
      <x:c r="F64" s="3" t="str">
        <x:v>published</x:v>
      </x:c>
      <x:c r="G64" s="3" t="str">
        <x:v>BBC Sport</x:v>
      </x:c>
      <x:c r="H64" s="3" t="str">
        <x:v>BBC Sport</x:v>
      </x:c>
      <x:c r="I64" s="3" t="str">
        <x:v>independent</x:v>
      </x:c>
      <x:c r="J64" s="3" t="str">
        <x:v>Max Verstappen</x:v>
      </x:c>
      <x:c r="K64" s="3" t="str">
        <x:v>English</x:v>
      </x:c>
      <x:c r="L64" s="3" t="str">
        <x:v>Describes music and belonging in Verstappen supporter stands.</x:v>
      </x:c>
      <x:c r="M64" s="3" t="str">
        <x:v>unclear</x:v>
      </x:c>
      <x:c r="N64" s="3" t="str">
        <x:v>yes</x:v>
      </x:c>
      <x:c r="O64" s="3" t="str">
        <x:v>yes</x:v>
      </x:c>
      <x:c r="P64" s="3" t="str">
        <x:v>unclear</x:v>
      </x:c>
      <x:c r="Q64" s="3" t="str">
        <x:v>not_established</x:v>
      </x:c>
      <x:c r="R64" s="3" t="str">
        <x:v>article_excerpt</x:v>
      </x:c>
      <x:c r="S64" s="3" t="str">
        <x:v>DJ interview</x:v>
      </x:c>
      <x:c r="T64" s="3" t="str">
        <x:v>original_page</x:v>
      </x:c>
      <x:c r="U64" s="4" t="d">
        <x:v>2026-10-22T00:00:00.000Z</x:v>
      </x:c>
      <x:c r="V64" s="9" t="str">
        <x:v>https://www.bbc.co.uk/sport/formula1/articles/cz71288ygxdo</x:v>
      </x:c>
      <x:c r="W64" s="3" t="str">
        <x:v>provisional</x:v>
      </x:c>
      <x:c r="X64" s="3" t="str"/>
      <x:c r="Y64" s="3" t="str"/>
    </x:row>
    <x:row r="65" ht="54" customHeight="1">
      <x:c r="A65" s="3" t="str">
        <x:v>F1014</x:v>
      </x:c>
      <x:c r="B65" s="3" t="str">
        <x:v>f1_allegiance</x:v>
      </x:c>
      <x:c r="C65" s="3" t="str">
        <x:v>formula_1</x:v>
      </x:c>
      <x:c r="D65" s="3" t="str">
        <x:v>Verstappen emotional home victory</x:v>
      </x:c>
      <x:c r="E65" s="4" t="d">
        <x:v>2021-09-05T00:00:00.000Z</x:v>
      </x:c>
      <x:c r="F65" s="3" t="str">
        <x:v>published</x:v>
      </x:c>
      <x:c r="G65" s="3" t="str">
        <x:v>Formula1.com</x:v>
      </x:c>
      <x:c r="H65" s="3" t="str">
        <x:v>Formula 1</x:v>
      </x:c>
      <x:c r="I65" s="3" t="str">
        <x:v>institutional</x:v>
      </x:c>
      <x:c r="J65" s="3" t="str">
        <x:v>Max Verstappen</x:v>
      </x:c>
      <x:c r="K65" s="3" t="str">
        <x:v>English</x:v>
      </x:c>
      <x:c r="L65" s="3" t="str">
        <x:v>Describes the meaning of winning at home before Dutch supporters and royalty.</x:v>
      </x:c>
      <x:c r="M65" s="3" t="str">
        <x:v>unclear</x:v>
      </x:c>
      <x:c r="N65" s="3" t="str">
        <x:v>yes</x:v>
      </x:c>
      <x:c r="O65" s="3" t="str">
        <x:v>yes</x:v>
      </x:c>
      <x:c r="P65" s="3" t="str">
        <x:v>unclear</x:v>
      </x:c>
      <x:c r="Q65" s="3" t="str">
        <x:v>not_established</x:v>
      </x:c>
      <x:c r="R65" s="3" t="str">
        <x:v>article_excerpt</x:v>
      </x:c>
      <x:c r="S65" s="3" t="str">
        <x:v>Opening and comments on the Orange Army</x:v>
      </x:c>
      <x:c r="T65" s="3" t="str">
        <x:v>indexed_text</x:v>
      </x:c>
      <x:c r="U65" s="4" t="d">
        <x:v>2026-10-22T00:00:00.000Z</x:v>
      </x:c>
      <x:c r="V65" s="9" t="str">
        <x:v>https://www.formula1.com/en/latest/article/its-an-amazing-day-says-verstappen-after-retaking-title-lead-with-emotional.6V6abQhbHESesuhAYIl3af.6V6abQhbHESesuhAYIl3af</x:v>
      </x:c>
      <x:c r="W65" s="3" t="str">
        <x:v>provisional</x:v>
      </x:c>
      <x:c r="X65" s="3" t="str"/>
      <x:c r="Y65" s="3" t="str"/>
    </x:row>
    <x:row r="66" ht="54" customHeight="1">
      <x:c r="A66" s="3" t="str">
        <x:v>F1015</x:v>
      </x:c>
      <x:c r="B66" s="3" t="str">
        <x:v>f1_allegiance</x:v>
      </x:c>
      <x:c r="C66" s="3" t="str">
        <x:v>formula_1</x:v>
      </x:c>
      <x:c r="D66" s="3" t="str">
        <x:v>Dutch home victory celebrations</x:v>
      </x:c>
      <x:c r="E66" s="4" t="d">
        <x:v>2021-09-05T00:00:00.000Z</x:v>
      </x:c>
      <x:c r="F66" s="3" t="str">
        <x:v>published</x:v>
      </x:c>
      <x:c r="G66" s="3" t="str">
        <x:v>Formula1.com</x:v>
      </x:c>
      <x:c r="H66" s="3" t="str">
        <x:v>Formula 1</x:v>
      </x:c>
      <x:c r="I66" s="3" t="str">
        <x:v>institutional</x:v>
      </x:c>
      <x:c r="J66" s="3" t="str">
        <x:v>Max Verstappen</x:v>
      </x:c>
      <x:c r="K66" s="3" t="str">
        <x:v>English</x:v>
      </x:c>
      <x:c r="L66" s="3" t="str">
        <x:v>Frames a Red Bull victory as a Dutch national home-race milestone.</x:v>
      </x:c>
      <x:c r="M66" s="3" t="str">
        <x:v>unclear</x:v>
      </x:c>
      <x:c r="N66" s="3" t="str">
        <x:v>yes</x:v>
      </x:c>
      <x:c r="O66" s="3" t="str">
        <x:v>yes</x:v>
      </x:c>
      <x:c r="P66" s="3" t="str">
        <x:v>unclear</x:v>
      </x:c>
      <x:c r="Q66" s="3" t="str">
        <x:v>not_established</x:v>
      </x:c>
      <x:c r="R66" s="3" t="str">
        <x:v>article_excerpt</x:v>
      </x:c>
      <x:c r="S66" s="3" t="str">
        <x:v>Opening and closing description of Dutch crowd</x:v>
      </x:c>
      <x:c r="T66" s="3" t="str">
        <x:v>original_page</x:v>
      </x:c>
      <x:c r="U66" s="4" t="d">
        <x:v>2026-10-22T00:00:00.000Z</x:v>
      </x:c>
      <x:c r="V66" s="9" t="str">
        <x:v>https://www.formula1.com/en/latest/article/verstappen-sends-home-fans-wild-with-victory-over-hamilton-in-the-dutch.5x4cEJF9B4DaIz2H6dVQrd</x:v>
      </x:c>
      <x:c r="W66" s="3" t="str">
        <x:v>provisional</x:v>
      </x:c>
      <x:c r="X66" s="3" t="str"/>
      <x:c r="Y66" s="3" t="str"/>
    </x:row>
    <x:row r="67" ht="54" customHeight="1">
      <x:c r="A67" s="3" t="str">
        <x:v>F1016</x:v>
      </x:c>
      <x:c r="B67" s="3" t="str">
        <x:v>f1_allegiance</x:v>
      </x:c>
      <x:c r="C67" s="3" t="str">
        <x:v>formula_1</x:v>
      </x:c>
      <x:c r="D67" s="3" t="str">
        <x:v>Perez as Mexican sporting hero</x:v>
      </x:c>
      <x:c r="E67" s="4" t="d">
        <x:v>2022-07-02T00:00:00.000Z</x:v>
      </x:c>
      <x:c r="F67" s="3" t="str">
        <x:v>published</x:v>
      </x:c>
      <x:c r="G67" s="3" t="str">
        <x:v>The Guardian</x:v>
      </x:c>
      <x:c r="H67" s="3" t="str">
        <x:v>The Guardian</x:v>
      </x:c>
      <x:c r="I67" s="3" t="str">
        <x:v>independent</x:v>
      </x:c>
      <x:c r="J67" s="3" t="str">
        <x:v>Sergio Perez</x:v>
      </x:c>
      <x:c r="K67" s="3" t="str">
        <x:v>English</x:v>
      </x:c>
      <x:c r="L67" s="3" t="str">
        <x:v>Presents Perez as a focus for Mexican sporting hopes.</x:v>
      </x:c>
      <x:c r="M67" s="3" t="str">
        <x:v>unclear</x:v>
      </x:c>
      <x:c r="N67" s="3" t="str">
        <x:v>yes</x:v>
      </x:c>
      <x:c r="O67" s="3" t="str">
        <x:v>yes</x:v>
      </x:c>
      <x:c r="P67" s="3" t="str">
        <x:v>unclear</x:v>
      </x:c>
      <x:c r="Q67" s="3" t="str">
        <x:v>not_established</x:v>
      </x:c>
      <x:c r="R67" s="3" t="str">
        <x:v>article_excerpt</x:v>
      </x:c>
      <x:c r="S67" s="3" t="str">
        <x:v>Standfirst and national sporting responsibility discussion</x:v>
      </x:c>
      <x:c r="T67" s="3" t="str">
        <x:v>original_page</x:v>
      </x:c>
      <x:c r="U67" s="4" t="d">
        <x:v>2026-10-22T00:00:00.000Z</x:v>
      </x:c>
      <x:c r="V67" s="9" t="str">
        <x:v>https://www.theguardian.com/sport/2022/jul/02/sergio-checo-perez-mexico-sporting-hero</x:v>
      </x:c>
      <x:c r="W67" s="3" t="str">
        <x:v>provisional</x:v>
      </x:c>
      <x:c r="X67" s="3" t="str"/>
      <x:c r="Y67" s="3" t="str"/>
    </x:row>
    <x:row r="68" ht="54" customHeight="1">
      <x:c r="A68" s="3" t="str">
        <x:v>F1017</x:v>
      </x:c>
      <x:c r="B68" s="3" t="str">
        <x:v>f1_allegiance</x:v>
      </x:c>
      <x:c r="C68" s="3" t="str">
        <x:v>formula_1</x:v>
      </x:c>
      <x:c r="D68" s="3" t="str">
        <x:v>Perez asks fans to support team</x:v>
      </x:c>
      <x:c r="E68" s="4" t="d">
        <x:v>2023-10-25T00:00:00.000Z</x:v>
      </x:c>
      <x:c r="F68" s="3" t="str">
        <x:v>published</x:v>
      </x:c>
      <x:c r="G68" s="3" t="str">
        <x:v>RacingNews365</x:v>
      </x:c>
      <x:c r="H68" s="3" t="str">
        <x:v>RacingNews365</x:v>
      </x:c>
      <x:c r="I68" s="3" t="str">
        <x:v>independent</x:v>
      </x:c>
      <x:c r="J68" s="3" t="str">
        <x:v>Sergio Perez</x:v>
      </x:c>
      <x:c r="K68" s="3" t="str">
        <x:v>English</x:v>
      </x:c>
      <x:c r="L68" s="3" t="str">
        <x:v>Contrasts Perez supporters' hostility to his teammate with a request for whole-team support.</x:v>
      </x:c>
      <x:c r="M68" s="3" t="str">
        <x:v>unclear</x:v>
      </x:c>
      <x:c r="N68" s="3" t="str">
        <x:v>yes</x:v>
      </x:c>
      <x:c r="O68" s="3" t="str">
        <x:v>yes</x:v>
      </x:c>
      <x:c r="P68" s="3" t="str">
        <x:v>yes</x:v>
      </x:c>
      <x:c r="Q68" s="3" t="str">
        <x:v>not_established</x:v>
      </x:c>
      <x:c r="R68" s="3" t="str">
        <x:v>article_excerpt</x:v>
      </x:c>
      <x:c r="S68" s="3" t="str">
        <x:v>Opening request and discussion of Verstappen hostility</x:v>
      </x:c>
      <x:c r="T68" s="3" t="str">
        <x:v>original_page</x:v>
      </x:c>
      <x:c r="U68" s="4" t="d">
        <x:v>2026-10-22T00:00:00.000Z</x:v>
      </x:c>
      <x:c r="V68" s="9" t="str">
        <x:v>https://racingnews365.com/perez-urges-respect-from-fans-over-vertsappen-hostility</x:v>
      </x:c>
      <x:c r="W68" s="3" t="str">
        <x:v>provisional</x:v>
      </x:c>
      <x:c r="X68" s="3" t="str"/>
      <x:c r="Y68" s="3" t="str"/>
    </x:row>
    <x:row r="69" ht="54" customHeight="1">
      <x:c r="A69" s="3" t="str">
        <x:v>F1018</x:v>
      </x:c>
      <x:c r="B69" s="3" t="str">
        <x:v>f1_allegiance</x:v>
      </x:c>
      <x:c r="C69" s="3" t="str">
        <x:v>formula_1</x:v>
      </x:c>
      <x:c r="D69" s="3" t="str">
        <x:v>Red Bull rivalry and national crowds</x:v>
      </x:c>
      <x:c r="E69" s="4" t="d">
        <x:v>2023-10-26T00:00:00.000Z</x:v>
      </x:c>
      <x:c r="F69" s="3" t="str">
        <x:v>published</x:v>
      </x:c>
      <x:c r="G69" s="3" t="str">
        <x:v>Sky Sports</x:v>
      </x:c>
      <x:c r="H69" s="3" t="str">
        <x:v>Sky Sports</x:v>
      </x:c>
      <x:c r="I69" s="3" t="str">
        <x:v>independent</x:v>
      </x:c>
      <x:c r="J69" s="3" t="str">
        <x:v>Sergio Perez</x:v>
      </x:c>
      <x:c r="K69" s="3" t="str">
        <x:v>English</x:v>
      </x:c>
      <x:c r="L69" s="3" t="str">
        <x:v>Examines perceived tension between driver-based support and Red Bull teammate relations.</x:v>
      </x:c>
      <x:c r="M69" s="3" t="str">
        <x:v>unclear</x:v>
      </x:c>
      <x:c r="N69" s="3" t="str">
        <x:v>yes</x:v>
      </x:c>
      <x:c r="O69" s="3" t="str">
        <x:v>yes</x:v>
      </x:c>
      <x:c r="P69" s="3" t="str">
        <x:v>yes</x:v>
      </x:c>
      <x:c r="Q69" s="3" t="str">
        <x:v>not_established</x:v>
      </x:c>
      <x:c r="R69" s="3" t="str">
        <x:v>article_excerpt</x:v>
      </x:c>
      <x:c r="S69" s="3" t="str">
        <x:v>Mexican crowd reception and driver rivalry discussion</x:v>
      </x:c>
      <x:c r="T69" s="3" t="str">
        <x:v>original_page</x:v>
      </x:c>
      <x:c r="U69" s="4" t="d">
        <x:v>2026-10-22T00:00:00.000Z</x:v>
      </x:c>
      <x:c r="V69" s="9" t="str">
        <x:v>https://www.skysports.com/f1/news/12993325/mexico-city-gp-red-bulls-max-verstappen-and-sergio-perez-dismiss-rivalry-amid-concerns-over-hostility</x:v>
      </x:c>
      <x:c r="W69" s="3" t="str">
        <x:v>provisional</x:v>
      </x:c>
      <x:c r="X69" s="3" t="str"/>
      <x:c r="Y69" s="3" t="str"/>
    </x:row>
    <x:row r="70" ht="54" customHeight="1">
      <x:c r="A70" s="3" t="str">
        <x:v>F1019</x:v>
      </x:c>
      <x:c r="B70" s="3" t="str">
        <x:v>f1_allegiance</x:v>
      </x:c>
      <x:c r="C70" s="3" t="str">
        <x:v>formula_1</x:v>
      </x:c>
      <x:c r="D70" s="3" t="str">
        <x:v>Perez homecoming as national celebration</x:v>
      </x:c>
      <x:c r="E70" s="4" t="d">
        <x:v>2025-10-23T00:00:00.000Z</x:v>
      </x:c>
      <x:c r="F70" s="3" t="str">
        <x:v>published</x:v>
      </x:c>
      <x:c r="G70" s="3" t="str">
        <x:v>Formula1.com</x:v>
      </x:c>
      <x:c r="H70" s="3" t="str">
        <x:v>Formula 1</x:v>
      </x:c>
      <x:c r="I70" s="3" t="str">
        <x:v>institutional</x:v>
      </x:c>
      <x:c r="J70" s="3" t="str">
        <x:v>Sergio Perez</x:v>
      </x:c>
      <x:c r="K70" s="3" t="str">
        <x:v>English</x:v>
      </x:c>
      <x:c r="L70" s="3" t="str">
        <x:v>Presents Mexican race culture and public expectations as closely linked to Perez.</x:v>
      </x:c>
      <x:c r="M70" s="3" t="str">
        <x:v>yes</x:v>
      </x:c>
      <x:c r="N70" s="3" t="str">
        <x:v>yes</x:v>
      </x:c>
      <x:c r="O70" s="3" t="str">
        <x:v>yes</x:v>
      </x:c>
      <x:c r="P70" s="3" t="str">
        <x:v>unclear</x:v>
      </x:c>
      <x:c r="Q70" s="3" t="str">
        <x:v>not_established</x:v>
      </x:c>
      <x:c r="R70" s="3" t="str">
        <x:v>article_excerpt</x:v>
      </x:c>
      <x:c r="S70" s="3" t="str">
        <x:v>National celebration and pressure of home sections</x:v>
      </x:c>
      <x:c r="T70" s="3" t="str">
        <x:v>original_page</x:v>
      </x:c>
      <x:c r="U70" s="4" t="d">
        <x:v>2026-10-22T00:00:00.000Z</x:v>
      </x:c>
      <x:c r="V70" s="9" t="str">
        <x:v>https://www.formula1.com/en/latest/article/checos-homecoming-how-sergio-perez-turned-the-mexico-city-gp-into-a-national.26BdnJafQGQ7sAG3oZL6kg</x:v>
      </x:c>
      <x:c r="W70" s="3" t="str">
        <x:v>provisional</x:v>
      </x:c>
      <x:c r="X70" s="3" t="str"/>
      <x:c r="Y70" s="3" t="str"/>
    </x:row>
    <x:row r="71" ht="54" customHeight="1">
      <x:c r="A71" s="3" t="str">
        <x:v>F1020</x:v>
      </x:c>
      <x:c r="B71" s="3" t="str">
        <x:v>f1_allegiance</x:v>
      </x:c>
      <x:c r="C71" s="3" t="str">
        <x:v>formula_1</x:v>
      </x:c>
      <x:c r="D71" s="3" t="str">
        <x:v>Perez on racing for home supporters</x:v>
      </x:c>
      <x:c r="E71" s="4" t="d">
        <x:v>2017-10-27T00:00:00.000Z</x:v>
      </x:c>
      <x:c r="F71" s="3" t="str">
        <x:v>published</x:v>
      </x:c>
      <x:c r="G71" s="3" t="str">
        <x:v>Formula1.com</x:v>
      </x:c>
      <x:c r="H71" s="3" t="str">
        <x:v>Formula 1 team preview quotations</x:v>
      </x:c>
      <x:c r="I71" s="3" t="str">
        <x:v>institutional</x:v>
      </x:c>
      <x:c r="J71" s="3" t="str">
        <x:v>Sergio Perez</x:v>
      </x:c>
      <x:c r="K71" s="3" t="str">
        <x:v>English</x:v>
      </x:c>
      <x:c r="L71" s="3" t="str">
        <x:v>Perez describes racing in Mexico as meaningful for his country, supporters, and partners.</x:v>
      </x:c>
      <x:c r="M71" s="3" t="str">
        <x:v>unclear</x:v>
      </x:c>
      <x:c r="N71" s="3" t="str">
        <x:v>yes</x:v>
      </x:c>
      <x:c r="O71" s="3" t="str">
        <x:v>yes</x:v>
      </x:c>
      <x:c r="P71" s="3" t="str">
        <x:v>unclear</x:v>
      </x:c>
      <x:c r="Q71" s="3" t="str">
        <x:v>not_established</x:v>
      </x:c>
      <x:c r="R71" s="3" t="str">
        <x:v>article_excerpt</x:v>
      </x:c>
      <x:c r="S71" s="3" t="str">
        <x:v>Force India section with Sergio Perez</x:v>
      </x:c>
      <x:c r="T71" s="3" t="str">
        <x:v>original_page</x:v>
      </x:c>
      <x:c r="U71" s="4" t="d">
        <x:v>2026-10-22T00:00:00.000Z</x:v>
      </x:c>
      <x:c r="V71" s="9" t="str">
        <x:v>https://www.formula1.com/en/latest/article/mexico-preview-quotes-ferrari-toro-rosso-mercedes-haas-renault-and-more.3BrF340rK0yeCk26seA6CM</x:v>
      </x:c>
      <x:c r="W71" s="3" t="str">
        <x:v>provisional</x:v>
      </x:c>
      <x:c r="X71" s="3" t="str"/>
      <x:c r="Y71" s="3" t="str"/>
    </x:row>
    <x:row r="72" ht="54" customHeight="1">
      <x:c r="A72" s="3" t="str">
        <x:v>F1021</x:v>
      </x:c>
      <x:c r="B72" s="3" t="str">
        <x:v>f1_allegiance</x:v>
      </x:c>
      <x:c r="C72" s="3" t="str">
        <x:v>formula_1</x:v>
      </x:c>
      <x:c r="D72" s="3" t="str">
        <x:v>Leclerc jeered after Perez collision</x:v>
      </x:c>
      <x:c r="E72" s="4" t="d">
        <x:v>2023-10-29T00:00:00.000Z</x:v>
      </x:c>
      <x:c r="F72" s="3" t="str">
        <x:v>published</x:v>
      </x:c>
      <x:c r="G72" s="3" t="str">
        <x:v>The Independent</x:v>
      </x:c>
      <x:c r="H72" s="3" t="str">
        <x:v>The Independent</x:v>
      </x:c>
      <x:c r="I72" s="3" t="str">
        <x:v>independent</x:v>
      </x:c>
      <x:c r="J72" s="3" t="str">
        <x:v>Charles Leclerc</x:v>
      </x:c>
      <x:c r="K72" s="3" t="str">
        <x:v>English</x:v>
      </x:c>
      <x:c r="L72" s="3" t="str">
        <x:v>Reports Mexican supporters jeering a Ferrari driver after a collision with Perez.</x:v>
      </x:c>
      <x:c r="M72" s="3" t="str">
        <x:v>unclear</x:v>
      </x:c>
      <x:c r="N72" s="3" t="str">
        <x:v>yes</x:v>
      </x:c>
      <x:c r="O72" s="3" t="str">
        <x:v>yes</x:v>
      </x:c>
      <x:c r="P72" s="3" t="str">
        <x:v>yes</x:v>
      </x:c>
      <x:c r="Q72" s="3" t="str">
        <x:v>not_established</x:v>
      </x:c>
      <x:c r="R72" s="3" t="str">
        <x:v>article_excerpt</x:v>
      </x:c>
      <x:c r="S72" s="3" t="str">
        <x:v>Opening account of Mexican fan reaction</x:v>
      </x:c>
      <x:c r="T72" s="3" t="str">
        <x:v>original_page</x:v>
      </x:c>
      <x:c r="U72" s="4" t="d">
        <x:v>2026-10-22T00:00:00.000Z</x:v>
      </x:c>
      <x:c r="V72" s="9" t="str">
        <x:v>https://www.the-independent.com/f1/f1-sergio-perez-charles-leclerc-mexico-b2438121.html</x:v>
      </x:c>
      <x:c r="W72" s="3" t="str">
        <x:v>provisional</x:v>
      </x:c>
      <x:c r="X72" s="3" t="str"/>
      <x:c r="Y72" s="3" t="str"/>
    </x:row>
    <x:row r="73" ht="54" customHeight="1">
      <x:c r="A73" s="3" t="str">
        <x:v>F1022</x:v>
      </x:c>
      <x:c r="B73" s="3" t="str">
        <x:v>f1_allegiance</x:v>
      </x:c>
      <x:c r="C73" s="3" t="str">
        <x:v>formula_1</x:v>
      </x:c>
      <x:c r="D73" s="3" t="str">
        <x:v>Leclerc Monaco home milestone</x:v>
      </x:c>
      <x:c r="E73" s="4" t="d">
        <x:v>2024-05-26T00:00:00.000Z</x:v>
      </x:c>
      <x:c r="F73" s="3" t="str">
        <x:v>published</x:v>
      </x:c>
      <x:c r="G73" s="3" t="str">
        <x:v>FIA</x:v>
      </x:c>
      <x:c r="H73" s="3" t="str">
        <x:v>FIA</x:v>
      </x:c>
      <x:c r="I73" s="3" t="str">
        <x:v>institutional</x:v>
      </x:c>
      <x:c r="J73" s="3" t="str">
        <x:v>Charles Leclerc</x:v>
      </x:c>
      <x:c r="K73" s="3" t="str">
        <x:v>English</x:v>
      </x:c>
      <x:c r="L73" s="3" t="str">
        <x:v>Frames victory through Leclerc's Monegasque identity and home streets.</x:v>
      </x:c>
      <x:c r="M73" s="3" t="str">
        <x:v>unclear</x:v>
      </x:c>
      <x:c r="N73" s="3" t="str">
        <x:v>yes</x:v>
      </x:c>
      <x:c r="O73" s="3" t="str">
        <x:v>unclear</x:v>
      </x:c>
      <x:c r="P73" s="3" t="str">
        <x:v>unclear</x:v>
      </x:c>
      <x:c r="Q73" s="3" t="str">
        <x:v>not_established</x:v>
      </x:c>
      <x:c r="R73" s="3" t="str">
        <x:v>article_excerpt</x:v>
      </x:c>
      <x:c r="S73" s="3" t="str">
        <x:v>Opening national home-win framing</x:v>
      </x:c>
      <x:c r="T73" s="3" t="str">
        <x:v>original_page</x:v>
      </x:c>
      <x:c r="U73" s="4" t="d">
        <x:v>2026-10-22T00:00:00.000Z</x:v>
      </x:c>
      <x:c r="V73" s="9" t="str">
        <x:v>https://www.fia.com/news/f1-leclerc-takes-emotional-home-win-monaco-ahead-piastri-and-sainz</x:v>
      </x:c>
      <x:c r="W73" s="3" t="str">
        <x:v>provisional</x:v>
      </x:c>
      <x:c r="X73" s="3" t="str"/>
      <x:c r="Y73" s="3" t="str"/>
    </x:row>
    <x:row r="74" ht="54" customHeight="1">
      <x:c r="A74" s="3" t="str">
        <x:v>F1023</x:v>
      </x:c>
      <x:c r="B74" s="3" t="str">
        <x:v>f1_allegiance</x:v>
      </x:c>
      <x:c r="C74" s="3" t="str">
        <x:v>formula_1</x:v>
      </x:c>
      <x:c r="D74" s="3" t="str">
        <x:v>Leclerc Monaco childhood dream</x:v>
      </x:c>
      <x:c r="E74" s="4" t="d">
        <x:v>2024-05-26T00:00:00.000Z</x:v>
      </x:c>
      <x:c r="F74" s="3" t="str">
        <x:v>published</x:v>
      </x:c>
      <x:c r="G74" s="3" t="str">
        <x:v>Formula1.com</x:v>
      </x:c>
      <x:c r="H74" s="3" t="str">
        <x:v>Formula 1</x:v>
      </x:c>
      <x:c r="I74" s="3" t="str">
        <x:v>institutional</x:v>
      </x:c>
      <x:c r="J74" s="3" t="str">
        <x:v>Charles Leclerc</x:v>
      </x:c>
      <x:c r="K74" s="3" t="str">
        <x:v>English</x:v>
      </x:c>
      <x:c r="L74" s="3" t="str">
        <x:v>Links home-race victory with childhood dreams and personal belonging in Monaco.</x:v>
      </x:c>
      <x:c r="M74" s="3" t="str">
        <x:v>yes</x:v>
      </x:c>
      <x:c r="N74" s="3" t="str">
        <x:v>yes</x:v>
      </x:c>
      <x:c r="O74" s="3" t="str">
        <x:v>unclear</x:v>
      </x:c>
      <x:c r="P74" s="3" t="str">
        <x:v>unclear</x:v>
      </x:c>
      <x:c r="Q74" s="3" t="str">
        <x:v>not_established</x:v>
      </x:c>
      <x:c r="R74" s="3" t="str">
        <x:v>article_excerpt</x:v>
      </x:c>
      <x:c r="S74" s="3" t="str">
        <x:v>Post-race comments about childhood ambitions and home</x:v>
      </x:c>
      <x:c r="T74" s="3" t="str">
        <x:v>original_page</x:v>
      </x:c>
      <x:c r="U74" s="4" t="d">
        <x:v>2026-10-22T00:00:00.000Z</x:v>
      </x:c>
      <x:c r="V74" s="9" t="str">
        <x:v>https://www.formula1.com/en/latest/article/leclerc-overjoyed-with-breakthrough-monaco-win-as-he-says-previous-heartache.6aEgxXMtsAMt7UJFkU2GH0.6aEgxXMtsAMt7UJFkU2GH0</x:v>
      </x:c>
      <x:c r="W74" s="3" t="str">
        <x:v>provisional</x:v>
      </x:c>
      <x:c r="X74" s="3" t="str"/>
      <x:c r="Y74" s="3" t="str"/>
    </x:row>
    <x:row r="75" ht="54" customHeight="1">
      <x:c r="A75" s="3" t="str">
        <x:v>F1024</x:v>
      </x:c>
      <x:c r="B75" s="3" t="str">
        <x:v>f1_allegiance</x:v>
      </x:c>
      <x:c r="C75" s="3" t="str">
        <x:v>formula_1</x:v>
      </x:c>
      <x:c r="D75" s="3" t="str">
        <x:v>Leclerc Monza social media reactions</x:v>
      </x:c>
      <x:c r="E75" s="4" t="d">
        <x:v>2024-09-03T00:00:00.000Z</x:v>
      </x:c>
      <x:c r="F75" s="3" t="str">
        <x:v>published</x:v>
      </x:c>
      <x:c r="G75" s="3" t="str">
        <x:v>Formula1.com</x:v>
      </x:c>
      <x:c r="H75" s="3" t="str">
        <x:v>Formula 1</x:v>
      </x:c>
      <x:c r="I75" s="3" t="str">
        <x:v>institutional</x:v>
      </x:c>
      <x:c r="J75" s="3" t="str">
        <x:v>Charles Leclerc</x:v>
      </x:c>
      <x:c r="K75" s="3" t="str">
        <x:v>English</x:v>
      </x:c>
      <x:c r="L75" s="3" t="str">
        <x:v>Curates reactions to a Monegasque Ferrari driver's success before the tifosi.</x:v>
      </x:c>
      <x:c r="M75" s="3" t="str">
        <x:v>unclear</x:v>
      </x:c>
      <x:c r="N75" s="3" t="str">
        <x:v>yes</x:v>
      </x:c>
      <x:c r="O75" s="3" t="str">
        <x:v>yes</x:v>
      </x:c>
      <x:c r="P75" s="3" t="str">
        <x:v>unclear</x:v>
      </x:c>
      <x:c r="Q75" s="3" t="str">
        <x:v>not_established</x:v>
      </x:c>
      <x:c r="R75" s="3" t="str">
        <x:v>article_excerpt</x:v>
      </x:c>
      <x:c r="S75" s="3" t="str">
        <x:v>Opening and curated social media reactions</x:v>
      </x:c>
      <x:c r="T75" s="3" t="str">
        <x:v>original_page</x:v>
      </x:c>
      <x:c r="U75" s="4" t="d">
        <x:v>2026-10-22T00:00:00.000Z</x:v>
      </x:c>
      <x:c r="V75" s="9" t="str">
        <x:v>https://www.formula1.com/en/latest/article/icymi-how-social-media-reacted-to-leclercs-triumph-in-front-of-the-tifosi-at.2yYdJthnG5Hyy0LZgyhIeP</x:v>
      </x:c>
      <x:c r="W75" s="3" t="str">
        <x:v>provisional</x:v>
      </x:c>
      <x:c r="X75" s="3" t="str"/>
      <x:c r="Y75" s="3" t="str"/>
    </x:row>
    <x:row r="76" ht="54" customHeight="1">
      <x:c r="A76" s="3" t="str">
        <x:v>F1025</x:v>
      </x:c>
      <x:c r="B76" s="3" t="str">
        <x:v>f1_allegiance</x:v>
      </x:c>
      <x:c r="C76" s="3" t="str">
        <x:v>formula_1</x:v>
      </x:c>
      <x:c r="D76" s="3" t="str">
        <x:v>Leclerc emotions at Ferrari home</x:v>
      </x:c>
      <x:c r="E76" s="4" t="d">
        <x:v>2024-09-01T00:00:00.000Z</x:v>
      </x:c>
      <x:c r="F76" s="3" t="str">
        <x:v>published</x:v>
      </x:c>
      <x:c r="G76" s="3" t="str">
        <x:v>Formula1.com</x:v>
      </x:c>
      <x:c r="H76" s="3" t="str">
        <x:v>Formula 1</x:v>
      </x:c>
      <x:c r="I76" s="3" t="str">
        <x:v>institutional</x:v>
      </x:c>
      <x:c r="J76" s="3" t="str">
        <x:v>Charles Leclerc</x:v>
      </x:c>
      <x:c r="K76" s="3" t="str">
        <x:v>English</x:v>
      </x:c>
      <x:c r="L76" s="3" t="str">
        <x:v>Describes a Monegasque driver's emotional attachment to Ferrari's Italian home supporters.</x:v>
      </x:c>
      <x:c r="M76" s="3" t="str">
        <x:v>unclear</x:v>
      </x:c>
      <x:c r="N76" s="3" t="str">
        <x:v>yes</x:v>
      </x:c>
      <x:c r="O76" s="3" t="str">
        <x:v>yes</x:v>
      </x:c>
      <x:c r="P76" s="3" t="str">
        <x:v>unclear</x:v>
      </x:c>
      <x:c r="Q76" s="3" t="str">
        <x:v>not_established</x:v>
      </x:c>
      <x:c r="R76" s="3" t="str">
        <x:v>article_excerpt</x:v>
      </x:c>
      <x:c r="S76" s="3" t="str">
        <x:v>Opening and comparison with 2019 Monza victory</x:v>
      </x:c>
      <x:c r="T76" s="3" t="str">
        <x:v>original_page</x:v>
      </x:c>
      <x:c r="U76" s="4" t="d">
        <x:v>2026-10-22T00:00:00.000Z</x:v>
      </x:c>
      <x:c r="V76" s="9" t="str">
        <x:v>https://www.formula1.com/en/latest/article/the-emotions-were-exactly-like-2019-says-leclerc-after-leading-ferrari-to.7lF5zsUyMTWBATRErpXia1</x:v>
      </x:c>
      <x:c r="W76" s="3" t="str">
        <x:v>provisional</x:v>
      </x:c>
      <x:c r="X76" s="3" t="str"/>
      <x:c r="Y76" s="3" t="str"/>
    </x:row>
  </x:sheetData>
  <x:conditionalFormatting sqref="T2:T76">
    <x:cfRule type="containsText" dxfId="0" priority="1" operator="containsText" text="indexed_text"/>
  </x:conditionalFormatting>
  <x:conditionalFormatting sqref="F2:F76">
    <x:cfRule type="containsText" dxfId="1" priority="2" operator="containsText" text="not_displayed"/>
  </x:conditionalFormatting>
  <x:dataValidations count="5">
    <x:dataValidation type="list" sqref="M2:M76">
      <x:formula1>"yes,no,unclear"</x:formula1>
    </x:dataValidation>
    <x:dataValidation type="list" sqref="N2:N76">
      <x:formula1>"yes,no,unclear"</x:formula1>
    </x:dataValidation>
    <x:dataValidation type="list" sqref="O2:O76">
      <x:formula1>"yes,no,unclear"</x:formula1>
    </x:dataValidation>
    <x:dataValidation type="list" sqref="P2:P76">
      <x:formula1>"yes,no,unclear"</x:formula1>
    </x:dataValidation>
    <x:dataValidation type="list" sqref="W2:W76">
      <x:formula1>"provisional,student_verified"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bdf44c26004e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  <x:col min="3" max="3" width="22" hidden="0" customWidth="1"/>
  </x:cols>
  <x:sheetData>
    <x:row r="1">
      <x:c r="A1" s="1"/>
      <x:c r="B1" s="1"/>
      <x:c r="C1" s="1"/>
    </x:row>
    <x:row r="2">
      <x:c r="A2" s="10" t="str">
        <x:v>IS310 sports media dataset</x:v>
      </x:c>
      <x:c r="B2" s="1"/>
      <x:c r="C2" s="1"/>
    </x:row>
    <x:row r="3">
      <x:c r="A3" s="1"/>
      <x:c r="B3" s="1"/>
      <x:c r="C3" s="1"/>
    </x:row>
    <x:row r="4" ht="35" customHeight="1">
      <x:c r="A4" s="3" t="str">
        <x:v>Collection prepared</x:v>
      </x:c>
      <x:c r="B4" s="3" t="str">
        <x:v>October 22, 2026</x:v>
      </x:c>
      <x:c r="C4" s="1"/>
    </x:row>
    <x:row r="5" ht="35" customHeight="1">
      <x:c r="A5" s="3" t="str">
        <x:v>Unit of observation</x:v>
      </x:c>
      <x:c r="B5" s="3" t="str">
        <x:v>One distinct public article or official interview transcript</x:v>
      </x:c>
      <x:c r="C5" s="1"/>
    </x:row>
    <x:row r="6" ht="35" customHeight="1">
      <x:c r="A6" s="3" t="str">
        <x:v>Scope</x:v>
      </x:c>
      <x:c r="B6" s="3" t="str">
        <x:v>English-language purposive collection; codes describe recorded text, not causal effects</x:v>
      </x:c>
      <x:c r="C6" s="1"/>
    </x:row>
    <x:row r="7" ht="35" customHeight="1">
      <x:c r="A7" s="3" t="str">
        <x:v>Source access</x:v>
      </x:c>
      <x:c r="B7" s="3" t="str">
        <x:f>COUNTIF(Dataset!$T$2:$T$76,"original_page")&amp;" original-page text records; "&amp;COUNTIF(Dataset!$T$2:$T$76,"indexed_text")&amp;" indexed-text records"</x:f>
        <x:v>56 original-page text records; 19 indexed-text records</x:v>
      </x:c>
      <x:c r="C7" s="1"/>
    </x:row>
    <x:row r="8" ht="35" customHeight="1">
      <x:c r="A8" s="3" t="str">
        <x:v>Date limitations</x:v>
      </x:c>
      <x:c r="B8" s="3" t="str">
        <x:f>COUNTBLANK(Dataset!$E$2:$E$76)&amp;" source dates not displayed. Review date_basis and date_note for edited or updated dates."</x:f>
        <x:v>3 source dates not displayed. Review date_basis and date_note for edited or updated dates.</x:v>
      </x:c>
      <x:c r="C8" s="1"/>
    </x:row>
    <x:row r="9" ht="35" customHeight="1">
      <x:c r="A9" s="3" t="str">
        <x:v>Review status</x:v>
      </x:c>
      <x:c r="B9" s="3" t="str">
        <x:f>COUNTIF(Dataset!$W$2:$W$76,"provisional")&amp;" rows have AI-assisted provisional codes awaiting student review"</x:f>
        <x:v>75 rows have AI-assisted provisional codes awaiting student review</x:v>
      </x:c>
      <x:c r="C9" s="1"/>
    </x:row>
    <x:row r="10" ht="35" customHeight="1">
      <x:c r="A10" s="3" t="str">
        <x:v>Working files</x:v>
      </x:c>
      <x:c r="B10" s="3" t="str">
        <x:v>The CSV is the input for the included Python checker; saved Excel and CSV edits do not synchronize</x:v>
      </x:c>
      <x:c r="C10" s="1"/>
    </x:row>
    <x:row r="11">
      <x:c r="A11" s="1"/>
      <x:c r="B11" s="1"/>
      <x:c r="C11" s="1"/>
    </x:row>
    <x:row r="12" ht="28" customHeight="1">
      <x:c r="A12" s="13" t="str">
        <x:v>Strand</x:v>
      </x:c>
      <x:c r="B12" s="13" t="str">
        <x:v>Meaning</x:v>
      </x:c>
      <x:c r="C12" s="13" t="str">
        <x:v>Records</x:v>
      </x:c>
    </x:row>
    <x:row r="13" ht="26" customHeight="1">
      <x:c r="A13" s="1" t="str">
        <x:v>athlete_mobility</x:v>
      </x:c>
      <x:c r="B13" s="1" t="str">
        <x:v>Soccer development and mobility</x:v>
      </x:c>
      <x:c r="C13" s="1" t="n">
        <x:f>COUNTIF(Dataset!$B$2:$B$76,A13)</x:f>
        <x:v>25</x:v>
      </x:c>
    </x:row>
    <x:row r="14" ht="26" customHeight="1">
      <x:c r="A14" s="1" t="str">
        <x:v>nba_global</x:v>
      </x:c>
      <x:c r="B14" s="1" t="str">
        <x:v>International NBA players</x:v>
      </x:c>
      <x:c r="C14" s="1" t="n">
        <x:f>COUNTIF(Dataset!$B$2:$B$76,A14)</x:f>
        <x:v>25</x:v>
      </x:c>
    </x:row>
    <x:row r="15" ht="26" customHeight="1">
      <x:c r="A15" s="1" t="str">
        <x:v>f1_allegiance</x:v>
      </x:c>
      <x:c r="B15" s="1" t="str">
        <x:v>Formula 1 national and team allegiance</x:v>
      </x:c>
      <x:c r="C15" s="1" t="n">
        <x:f>COUNTIF(Dataset!$B$2:$B$76,A15)</x:f>
        <x:v>25</x:v>
      </x:c>
    </x:row>
    <x:row r="16" ht="26" customHeight="1">
      <x:c r="A16" s="1" t="str">
        <x:v>Total</x:v>
      </x:c>
      <x:c r="B16" s="1" t="str">
        <x:v>Distinct source items</x:v>
      </x:c>
      <x:c r="C16" s="1" t="n">
        <x:f>SUM(C13:C15)</x:f>
        <x:v>75</x:v>
      </x:c>
    </x:row>
    <x:row r="17">
      <x:c r="A17" s="1"/>
      <x:c r="B17" s="1"/>
      <x:c r="C17" s="1"/>
    </x:row>
    <x:row r="18" ht="28" customHeight="1">
      <x:c r="A18" s="13" t="str">
        <x:v>Field</x:v>
      </x:c>
      <x:c r="B18" s="13" t="str">
        <x:v>Definition</x:v>
      </x:c>
      <x:c r="C18" s="1"/>
    </x:row>
    <x:row r="19" ht="34" customHeight="1">
      <x:c r="A19" s="3" t="str">
        <x:v>item_id</x:v>
      </x:c>
      <x:c r="B19" s="3" t="str">
        <x:v>Stable record identifier; SOC, NBA, and F1 identify each strand.</x:v>
      </x:c>
      <x:c r="C19" s="1"/>
    </x:row>
    <x:row r="20" ht="34" customHeight="1">
      <x:c r="A20" s="3" t="str">
        <x:v>strand</x:v>
      </x:c>
      <x:c r="B20" s="3" t="str">
        <x:v>athlete_mobility, nba_global, or f1_allegiance.</x:v>
      </x:c>
      <x:c r="C20" s="1"/>
    </x:row>
    <x:row r="21" ht="34" customHeight="1">
      <x:c r="A21" s="3" t="str">
        <x:v>sport</x:v>
      </x:c>
      <x:c r="B21" s="3" t="str">
        <x:v>soccer, basketball, or formula_1.</x:v>
      </x:c>
      <x:c r="C21" s="1"/>
    </x:row>
    <x:row r="22" ht="34" customHeight="1">
      <x:c r="A22" s="3" t="str">
        <x:v>record_label</x:v>
      </x:c>
      <x:c r="B22" s="3" t="str">
        <x:v>Short descriptive source label; original headlines may be abbreviated.</x:v>
      </x:c>
      <x:c r="C22" s="1"/>
    </x:row>
    <x:row r="23" ht="34" customHeight="1">
      <x:c r="A23" s="3" t="str">
        <x:v>source_date</x:v>
      </x:c>
      <x:c r="B23" s="3" t="str">
        <x:v>Date displayed on the source. Blank when not displayed; never assume blank means zero.</x:v>
      </x:c>
      <x:c r="C23" s="1"/>
    </x:row>
    <x:row r="24" ht="34" customHeight="1">
      <x:c r="A24" s="3" t="str">
        <x:v>date_basis</x:v>
      </x:c>
      <x:c r="B24" s="3" t="str">
        <x:v>published, updated, edited, or not_displayed. Updated and edited dates are not first publication dates.</x:v>
      </x:c>
      <x:c r="C24" s="1"/>
    </x:row>
    <x:row r="25" ht="34" customHeight="1">
      <x:c r="A25" s="3" t="str">
        <x:v>publisher</x:v>
      </x:c>
      <x:c r="B25" s="3" t="str">
        <x:v>Organization hosting the source page.</x:v>
      </x:c>
      <x:c r="C25" s="1"/>
    </x:row>
    <x:row r="26" ht="34" customHeight="1">
      <x:c r="A26" s="3" t="str">
        <x:v>originator</x:v>
      </x:c>
      <x:c r="B26" s="3" t="str">
        <x:v>Authoring organization, distinct from the host for syndicated reporting.</x:v>
      </x:c>
      <x:c r="C26" s="1"/>
    </x:row>
    <x:row r="27" ht="34" customHeight="1">
      <x:c r="A27" s="3" t="str">
        <x:v>provenance</x:v>
      </x:c>
      <x:c r="B27" s="3" t="str">
        <x:v>institutional or independent, based on originator rather than host.</x:v>
      </x:c>
      <x:c r="C27" s="1"/>
    </x:row>
    <x:row r="28" ht="34" customHeight="1">
      <x:c r="A28" s="3" t="str">
        <x:v>subject</x:v>
      </x:c>
      <x:c r="B28" s="3" t="str">
        <x:v>Focal athlete or group; not a nationality field.</x:v>
      </x:c>
      <x:c r="C28" s="1"/>
    </x:row>
    <x:row r="29" ht="34" customHeight="1">
      <x:c r="A29" s="3" t="str">
        <x:v>language</x:v>
      </x:c>
      <x:c r="B29" s="3" t="str">
        <x:v>Source language; this collection is English.</x:v>
      </x:c>
      <x:c r="C29" s="1"/>
    </x:row>
    <x:row r="30" ht="34" customHeight="1">
      <x:c r="A30" s="3" t="str">
        <x:v>evidence_note</x:v>
      </x:c>
      <x:c r="B30" s="3" t="str">
        <x:v>Brief paraphrase supporting the provisional codes; verify the source passage.</x:v>
      </x:c>
      <x:c r="C30" s="1"/>
    </x:row>
    <x:row r="31" ht="34" customHeight="1">
      <x:c r="A31" s="3" t="str">
        <x:v>development</x:v>
      </x:c>
      <x:c r="B31" s="3" t="str">
        <x:v>yes / no / unclear: explicit development, training, mentorship, or career learning.</x:v>
      </x:c>
      <x:c r="C31" s="1"/>
    </x:row>
    <x:row r="32" ht="34" customHeight="1">
      <x:c r="A32" s="3" t="str">
        <x:v>national_identity</x:v>
      </x:c>
      <x:c r="B32" s="3" t="str">
        <x:v>yes / no / unclear: explicit country, citizenship, national representation, or belonging.</x:v>
      </x:c>
      <x:c r="C32" s="1"/>
    </x:row>
    <x:row r="33" ht="34" customHeight="1">
      <x:c r="A33" s="3" t="str">
        <x:v>audience_connection</x:v>
      </x:c>
      <x:c r="B33" s="3" t="str">
        <x:v>yes / no / unclear: explicit supporters, viewing, or audience attachment. Does not measure causal growth.</x:v>
      </x:c>
      <x:c r="C33" s="1"/>
    </x:row>
    <x:row r="34" ht="34" customHeight="1">
      <x:c r="A34" s="3" t="str">
        <x:v>competing_allegiance</x:v>
      </x:c>
      <x:c r="B34" s="3" t="str">
        <x:v>yes / no / unclear: explicit overlapping, divided, shifting, or competing attachments.</x:v>
      </x:c>
      <x:c r="C34" s="1"/>
    </x:row>
    <x:row r="35" ht="34" customHeight="1">
      <x:c r="A35" s="3" t="str">
        <x:v>movement</x:v>
      </x:c>
      <x:c r="B35" s="3" t="str">
        <x:v>relocation_discussed, domestic_pathway, or not_established. A transfer or national-team choice does not prove a residential move.</x:v>
      </x:c>
      <x:c r="C35" s="1"/>
    </x:row>
    <x:row r="36" ht="34" customHeight="1">
      <x:c r="A36" s="3" t="str">
        <x:v>inspected_scope</x:v>
      </x:c>
      <x:c r="B36" s="3" t="str">
        <x:v>article_body, transcript_section, or article_excerpt. Excerpt records do not claim full article review.</x:v>
      </x:c>
      <x:c r="C36" s="1"/>
    </x:row>
    <x:row r="37" ht="34" customHeight="1">
      <x:c r="A37" s="3" t="str">
        <x:v>evidence_locator</x:v>
      </x:c>
      <x:c r="B37" s="3" t="str">
        <x:v>Section or contextual description locating the observed evidence.</x:v>
      </x:c>
      <x:c r="C37" s="1"/>
    </x:row>
    <x:row r="38" ht="34" customHeight="1">
      <x:c r="A38" s="3" t="str">
        <x:v>access_method</x:v>
      </x:c>
      <x:c r="B38" s="3" t="str">
        <x:v>original_page or indexed_text. Indexed text may be incomplete and needs priority review.</x:v>
      </x:c>
      <x:c r="C38" s="1"/>
    </x:row>
    <x:row r="39" ht="34" customHeight="1">
      <x:c r="A39" s="3" t="str">
        <x:v>accessed_date</x:v>
      </x:c>
      <x:c r="B39" s="3" t="str">
        <x:v>Date the material was checked while preparing this collection.</x:v>
      </x:c>
      <x:c r="C39" s="1"/>
    </x:row>
    <x:row r="40" ht="34" customHeight="1">
      <x:c r="A40" s="3" t="str">
        <x:v>source_url</x:v>
      </x:c>
      <x:c r="B40" s="3" t="str">
        <x:v>Original source link or the credited host of a syndicated article.</x:v>
      </x:c>
      <x:c r="C40" s="1"/>
    </x:row>
    <x:row r="41" ht="34" customHeight="1">
      <x:c r="A41" s="3" t="str">
        <x:v>review_status</x:v>
      </x:c>
      <x:c r="B41" s="3" t="str">
        <x:v>provisional until a student verifies the source and coding, then student_verified.</x:v>
      </x:c>
      <x:c r="C41" s="1"/>
    </x:row>
    <x:row r="42" ht="34" customHeight="1">
      <x:c r="A42" s="3" t="str">
        <x:v>reviewer</x:v>
      </x:c>
      <x:c r="B42" s="3" t="str">
        <x:v>Actual student reviewer name. Blank means no student review has been claimed.</x:v>
      </x:c>
      <x:c r="C42" s="1"/>
    </x:row>
    <x:row r="43" ht="34" customHeight="1">
      <x:c r="A43" s="3" t="str">
        <x:v>date_note</x:v>
      </x:c>
      <x:c r="B43" s="3" t="str">
        <x:v>Explanation of an unavailable, edited, or updated source date.</x:v>
      </x:c>
      <x:c r="C43" s="1"/>
    </x:row>
    <x:row r="44">
      <x:c r="A44" s="1"/>
      <x:c r="B44" s="1"/>
      <x:c r="C44" s="1"/>
    </x:row>
    <x:row r="45" ht="35" customHeight="1">
      <x:c r="A45" s="11" t="str">
        <x:v>Interpretation</x:v>
      </x:c>
      <x:c r="B45" s="11" t="str">
        <x:v>yes = feature observed; no = absent from inspected scope; unclear = insufficient evidence.</x:v>
      </x:c>
      <x:c r="C45" s="1"/>
    </x:row>
    <x:row r="46" ht="35" customHeight="1">
      <x:c r="A46" s="11" t="str">
        <x:v>Review priority</x:v>
      </x:c>
      <x:c r="B46" s="11" t="str">
        <x:v>Read indexed sources first, then resolve date gaps and independently compare coding.</x:v>
      </x:c>
      <x:c r="C46" s="1"/>
    </x:row>
    <x:row r="47" ht="35" customHeight="1">
      <x:c r="A47" s="11" t="str">
        <x:v>Sampling limits</x:v>
      </x:c>
      <x:c r="B47" s="11" t="str">
        <x:v>Same-event stories are not independent observations. Counts describe this selected collection.</x:v>
      </x:c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</x:sheetData>
  <x:pageMargins left="0.7" right="0.7" top="0.75" bottom="0.75" header="0.3" footer="0.3"/>
</x:worksheet>
</file>